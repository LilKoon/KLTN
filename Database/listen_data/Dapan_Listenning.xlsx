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Bun\KLTN_main\Database\listen_data\"/>
    </mc:Choice>
  </mc:AlternateContent>
  <xr:revisionPtr revIDLastSave="0" documentId="13_ncr:1_{C5E0B2D7-E2FD-49EF-8EE6-52CBA8569C87}" xr6:coauthVersionLast="47" xr6:coauthVersionMax="47" xr10:uidLastSave="{00000000-0000-0000-0000-000000000000}"/>
  <bookViews>
    <workbookView xWindow="-120" yWindow="-120" windowWidth="38640" windowHeight="21120" xr2:uid="{9FCAEB9B-8E23-41D0-A159-BE22BE3F895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42" i="1" l="1"/>
  <c r="D242" i="1"/>
  <c r="E242" i="1"/>
  <c r="C241" i="1"/>
  <c r="D241" i="1"/>
  <c r="E241" i="1"/>
  <c r="C240" i="1"/>
  <c r="D240" i="1"/>
  <c r="E240" i="1"/>
  <c r="C239" i="1"/>
  <c r="D239" i="1"/>
  <c r="E239" i="1"/>
  <c r="C238" i="1"/>
  <c r="D238" i="1"/>
  <c r="E238" i="1"/>
  <c r="C237" i="1"/>
  <c r="D237" i="1"/>
  <c r="E237" i="1"/>
  <c r="C236" i="1"/>
  <c r="D236" i="1"/>
  <c r="E236" i="1"/>
  <c r="C235" i="1"/>
  <c r="D235" i="1"/>
  <c r="E235" i="1"/>
  <c r="C234" i="1"/>
  <c r="D234" i="1"/>
  <c r="E234" i="1"/>
  <c r="C233" i="1"/>
  <c r="D233" i="1"/>
  <c r="E233" i="1"/>
  <c r="C232" i="1"/>
  <c r="D232" i="1"/>
  <c r="E232" i="1"/>
  <c r="C231" i="1"/>
  <c r="D231" i="1"/>
  <c r="E231" i="1"/>
  <c r="C230" i="1"/>
  <c r="D230" i="1"/>
  <c r="E230" i="1"/>
  <c r="C229" i="1"/>
  <c r="D229" i="1"/>
  <c r="E229" i="1"/>
  <c r="C228" i="1"/>
  <c r="D228" i="1"/>
  <c r="E228" i="1"/>
  <c r="C227" i="1"/>
  <c r="D227" i="1"/>
  <c r="E227" i="1"/>
  <c r="C226" i="1"/>
  <c r="D226" i="1"/>
  <c r="E226" i="1"/>
  <c r="C225" i="1"/>
  <c r="D225" i="1"/>
  <c r="E225" i="1"/>
  <c r="C224" i="1"/>
  <c r="D224" i="1"/>
  <c r="E224" i="1"/>
  <c r="C223" i="1"/>
  <c r="D223" i="1"/>
  <c r="E223" i="1"/>
  <c r="C222" i="1"/>
  <c r="D222" i="1"/>
  <c r="E222" i="1"/>
  <c r="C221" i="1"/>
  <c r="D221" i="1"/>
  <c r="E221" i="1"/>
  <c r="C220" i="1"/>
  <c r="D220" i="1"/>
  <c r="E220" i="1"/>
  <c r="C219" i="1"/>
  <c r="D219" i="1"/>
  <c r="E219" i="1"/>
  <c r="C218" i="1"/>
  <c r="D218" i="1"/>
  <c r="E218" i="1"/>
  <c r="A241" i="1"/>
  <c r="A242" i="1"/>
  <c r="A220" i="1"/>
  <c r="A221" i="1"/>
  <c r="A222" i="1"/>
  <c r="A223" i="1"/>
  <c r="A224" i="1"/>
  <c r="A225" i="1"/>
  <c r="A226" i="1"/>
  <c r="A227" i="1"/>
  <c r="A228" i="1"/>
  <c r="A229" i="1"/>
  <c r="A230" i="1"/>
  <c r="A231" i="1"/>
  <c r="A232" i="1"/>
  <c r="A233" i="1"/>
  <c r="A234" i="1"/>
  <c r="A235" i="1"/>
  <c r="A236" i="1"/>
  <c r="A237" i="1"/>
  <c r="A238" i="1"/>
  <c r="A239" i="1"/>
  <c r="A240" i="1"/>
  <c r="A219" i="1"/>
  <c r="C217" i="1"/>
  <c r="D217" i="1"/>
  <c r="E217" i="1"/>
  <c r="C216" i="1"/>
  <c r="D216" i="1"/>
  <c r="E216" i="1"/>
  <c r="C215" i="1"/>
  <c r="D215" i="1"/>
  <c r="E215" i="1"/>
  <c r="C214" i="1"/>
  <c r="D214" i="1"/>
  <c r="E214" i="1"/>
  <c r="C213" i="1"/>
  <c r="D213" i="1"/>
  <c r="E213" i="1"/>
  <c r="C212" i="1"/>
  <c r="D212" i="1"/>
  <c r="E212" i="1"/>
  <c r="C211" i="1"/>
  <c r="D211" i="1"/>
  <c r="E211" i="1"/>
  <c r="C210" i="1"/>
  <c r="D210" i="1"/>
  <c r="E210" i="1"/>
  <c r="C209" i="1"/>
  <c r="D209" i="1"/>
  <c r="E209" i="1"/>
  <c r="C208" i="1"/>
  <c r="D208" i="1"/>
  <c r="E208" i="1"/>
  <c r="C207" i="1"/>
  <c r="D207" i="1"/>
  <c r="E207" i="1"/>
  <c r="C206" i="1"/>
  <c r="D206" i="1"/>
  <c r="E206" i="1"/>
  <c r="C205" i="1"/>
  <c r="D205" i="1"/>
  <c r="E205" i="1"/>
  <c r="C204" i="1"/>
  <c r="D204" i="1"/>
  <c r="E204" i="1"/>
  <c r="C203" i="1"/>
  <c r="D203" i="1"/>
  <c r="E203" i="1"/>
  <c r="C202" i="1"/>
  <c r="D202" i="1"/>
  <c r="E202" i="1"/>
  <c r="C201" i="1"/>
  <c r="D201" i="1"/>
  <c r="E201" i="1"/>
  <c r="C200" i="1"/>
  <c r="D200" i="1"/>
  <c r="E200" i="1"/>
  <c r="C199" i="1"/>
  <c r="D199" i="1"/>
  <c r="E199" i="1"/>
  <c r="C198" i="1"/>
  <c r="D198" i="1"/>
  <c r="E198" i="1"/>
  <c r="C197" i="1"/>
  <c r="D197" i="1"/>
  <c r="E197" i="1"/>
  <c r="C196" i="1"/>
  <c r="D196" i="1"/>
  <c r="E196" i="1"/>
  <c r="C195" i="1"/>
  <c r="D195" i="1"/>
  <c r="E195" i="1"/>
  <c r="C194" i="1"/>
  <c r="D194" i="1"/>
  <c r="E194" i="1"/>
  <c r="C193" i="1"/>
  <c r="D193" i="1"/>
  <c r="E193" i="1"/>
  <c r="A214" i="1"/>
  <c r="A215" i="1"/>
  <c r="A216" i="1"/>
  <c r="A217" i="1"/>
  <c r="A195" i="1"/>
  <c r="A196" i="1"/>
  <c r="A197" i="1"/>
  <c r="A198" i="1"/>
  <c r="A199" i="1"/>
  <c r="A200" i="1"/>
  <c r="A201" i="1"/>
  <c r="A202" i="1"/>
  <c r="A203" i="1"/>
  <c r="A204" i="1"/>
  <c r="A205" i="1"/>
  <c r="A206" i="1"/>
  <c r="A207" i="1"/>
  <c r="A208" i="1"/>
  <c r="A209" i="1"/>
  <c r="A210" i="1"/>
  <c r="A211" i="1"/>
  <c r="A212" i="1"/>
  <c r="A213" i="1"/>
  <c r="A194" i="1"/>
  <c r="C192" i="1"/>
  <c r="D192" i="1"/>
  <c r="E192" i="1"/>
  <c r="C191" i="1"/>
  <c r="D191" i="1"/>
  <c r="E191" i="1"/>
  <c r="C190" i="1"/>
  <c r="D190" i="1"/>
  <c r="E190" i="1"/>
  <c r="C189" i="1"/>
  <c r="D189" i="1"/>
  <c r="E189" i="1"/>
  <c r="C188" i="1"/>
  <c r="D188" i="1"/>
  <c r="E188" i="1"/>
  <c r="C187" i="1"/>
  <c r="D187" i="1"/>
  <c r="E187" i="1"/>
  <c r="C186" i="1"/>
  <c r="D186" i="1"/>
  <c r="E186" i="1"/>
  <c r="C185" i="1"/>
  <c r="D185" i="1"/>
  <c r="E185" i="1"/>
  <c r="C184" i="1"/>
  <c r="D184" i="1"/>
  <c r="E184" i="1"/>
  <c r="C183" i="1"/>
  <c r="D183" i="1"/>
  <c r="E183" i="1"/>
  <c r="C182" i="1"/>
  <c r="D182" i="1"/>
  <c r="E182" i="1"/>
  <c r="C181" i="1"/>
  <c r="D181" i="1"/>
  <c r="E181" i="1"/>
  <c r="C180" i="1"/>
  <c r="D180" i="1"/>
  <c r="E180" i="1"/>
  <c r="C179" i="1"/>
  <c r="D179" i="1"/>
  <c r="E179" i="1"/>
  <c r="C178" i="1"/>
  <c r="D178" i="1"/>
  <c r="E178" i="1"/>
  <c r="C177" i="1"/>
  <c r="D177" i="1"/>
  <c r="E177" i="1"/>
  <c r="C176" i="1"/>
  <c r="D176" i="1"/>
  <c r="E176" i="1"/>
  <c r="C175" i="1"/>
  <c r="D175" i="1"/>
  <c r="E175" i="1"/>
  <c r="C174" i="1"/>
  <c r="D174" i="1"/>
  <c r="E174" i="1"/>
  <c r="C173" i="1"/>
  <c r="D173" i="1"/>
  <c r="E173" i="1"/>
  <c r="C172" i="1"/>
  <c r="D172" i="1"/>
  <c r="E172" i="1"/>
  <c r="C171" i="1"/>
  <c r="D171" i="1"/>
  <c r="E171" i="1"/>
  <c r="C170" i="1"/>
  <c r="D170" i="1"/>
  <c r="E170" i="1"/>
  <c r="C169" i="1"/>
  <c r="D169" i="1"/>
  <c r="E169" i="1"/>
  <c r="C168" i="1"/>
  <c r="D168" i="1"/>
  <c r="E168" i="1"/>
  <c r="A188" i="1"/>
  <c r="A189" i="1"/>
  <c r="A190" i="1"/>
  <c r="A191" i="1"/>
  <c r="A192" i="1"/>
  <c r="A170" i="1"/>
  <c r="A171" i="1"/>
  <c r="A172" i="1"/>
  <c r="A173" i="1"/>
  <c r="A174" i="1"/>
  <c r="A175" i="1"/>
  <c r="A176" i="1"/>
  <c r="A177" i="1"/>
  <c r="A178" i="1"/>
  <c r="A179" i="1"/>
  <c r="A180" i="1"/>
  <c r="A181" i="1"/>
  <c r="A182" i="1"/>
  <c r="A183" i="1"/>
  <c r="A184" i="1"/>
  <c r="A185" i="1"/>
  <c r="A186" i="1"/>
  <c r="A187" i="1"/>
  <c r="A169" i="1"/>
  <c r="C167" i="1"/>
  <c r="D167" i="1"/>
  <c r="E167" i="1"/>
  <c r="C166" i="1"/>
  <c r="D166" i="1"/>
  <c r="E166" i="1"/>
  <c r="C165" i="1"/>
  <c r="D165" i="1"/>
  <c r="E165" i="1"/>
  <c r="C164" i="1"/>
  <c r="D164" i="1"/>
  <c r="E164" i="1"/>
  <c r="C163" i="1"/>
  <c r="D163" i="1"/>
  <c r="E163" i="1"/>
  <c r="C162" i="1"/>
  <c r="D162" i="1"/>
  <c r="E162" i="1"/>
  <c r="C161" i="1"/>
  <c r="D161" i="1"/>
  <c r="E161" i="1"/>
  <c r="C160" i="1"/>
  <c r="D160" i="1"/>
  <c r="E160" i="1"/>
  <c r="C159" i="1"/>
  <c r="D159" i="1"/>
  <c r="E159" i="1"/>
  <c r="C158" i="1"/>
  <c r="D158" i="1"/>
  <c r="E158" i="1"/>
  <c r="C157" i="1"/>
  <c r="D157" i="1"/>
  <c r="E157" i="1"/>
  <c r="C156" i="1"/>
  <c r="D156" i="1"/>
  <c r="E156" i="1"/>
  <c r="C155" i="1"/>
  <c r="D155" i="1"/>
  <c r="E155" i="1"/>
  <c r="C154" i="1"/>
  <c r="D154" i="1"/>
  <c r="E154" i="1"/>
  <c r="C153" i="1"/>
  <c r="D153" i="1"/>
  <c r="E153" i="1"/>
  <c r="C152" i="1"/>
  <c r="D152" i="1"/>
  <c r="E152" i="1"/>
  <c r="C151" i="1"/>
  <c r="D151" i="1"/>
  <c r="E151" i="1"/>
  <c r="C150" i="1"/>
  <c r="D150" i="1"/>
  <c r="E150" i="1"/>
  <c r="C149" i="1"/>
  <c r="D149" i="1"/>
  <c r="E149" i="1"/>
  <c r="C148" i="1"/>
  <c r="D148" i="1"/>
  <c r="E148" i="1"/>
  <c r="C147" i="1"/>
  <c r="D147" i="1"/>
  <c r="E147" i="1"/>
  <c r="C146" i="1"/>
  <c r="D146" i="1"/>
  <c r="E146" i="1"/>
  <c r="C145" i="1"/>
  <c r="D145" i="1"/>
  <c r="E145" i="1"/>
  <c r="C144" i="1"/>
  <c r="D144" i="1"/>
  <c r="E144" i="1"/>
  <c r="C143" i="1"/>
  <c r="D143" i="1"/>
  <c r="E143" i="1"/>
  <c r="A166" i="1"/>
  <c r="A167" i="1"/>
  <c r="A145" i="1"/>
  <c r="A146" i="1"/>
  <c r="A147" i="1"/>
  <c r="A148" i="1"/>
  <c r="A149" i="1"/>
  <c r="A150" i="1"/>
  <c r="A151" i="1"/>
  <c r="A152" i="1"/>
  <c r="A153" i="1"/>
  <c r="A154" i="1"/>
  <c r="A155" i="1"/>
  <c r="A156" i="1"/>
  <c r="A157" i="1"/>
  <c r="A158" i="1"/>
  <c r="A159" i="1"/>
  <c r="A160" i="1"/>
  <c r="A161" i="1"/>
  <c r="A162" i="1"/>
  <c r="A163" i="1"/>
  <c r="A164" i="1"/>
  <c r="A165" i="1"/>
  <c r="A144" i="1"/>
  <c r="C142" i="1"/>
  <c r="D142" i="1"/>
  <c r="E142" i="1"/>
  <c r="C141" i="1"/>
  <c r="D141" i="1"/>
  <c r="E141" i="1"/>
  <c r="C140" i="1"/>
  <c r="D140" i="1"/>
  <c r="E140" i="1"/>
  <c r="C139" i="1"/>
  <c r="D139" i="1"/>
  <c r="E139" i="1"/>
  <c r="C138" i="1"/>
  <c r="D138" i="1"/>
  <c r="E138" i="1"/>
  <c r="C137" i="1"/>
  <c r="D137" i="1"/>
  <c r="E137" i="1"/>
  <c r="C136" i="1"/>
  <c r="D136" i="1"/>
  <c r="E136" i="1"/>
  <c r="C135" i="1"/>
  <c r="D135" i="1"/>
  <c r="E135" i="1"/>
  <c r="C134" i="1"/>
  <c r="D134" i="1"/>
  <c r="E134" i="1"/>
  <c r="C133" i="1"/>
  <c r="D133" i="1"/>
  <c r="E133" i="1"/>
  <c r="C132" i="1"/>
  <c r="D132" i="1"/>
  <c r="E132" i="1"/>
  <c r="C131" i="1"/>
  <c r="D131" i="1"/>
  <c r="E131" i="1"/>
  <c r="C130" i="1"/>
  <c r="D130" i="1"/>
  <c r="E130" i="1"/>
  <c r="C129" i="1"/>
  <c r="D129" i="1"/>
  <c r="E129" i="1"/>
  <c r="C128" i="1"/>
  <c r="D128" i="1"/>
  <c r="E128" i="1"/>
  <c r="C127" i="1"/>
  <c r="D127" i="1"/>
  <c r="E127" i="1"/>
  <c r="C126" i="1"/>
  <c r="D126" i="1"/>
  <c r="E126" i="1"/>
  <c r="C125" i="1"/>
  <c r="D125" i="1"/>
  <c r="E125" i="1"/>
  <c r="C124" i="1"/>
  <c r="D124" i="1"/>
  <c r="E124" i="1"/>
  <c r="C123" i="1"/>
  <c r="D123" i="1"/>
  <c r="E123" i="1"/>
  <c r="C122" i="1"/>
  <c r="D122" i="1"/>
  <c r="E122" i="1"/>
  <c r="C121" i="1"/>
  <c r="D121" i="1"/>
  <c r="E121" i="1"/>
  <c r="C120" i="1"/>
  <c r="D120" i="1"/>
  <c r="E120" i="1"/>
  <c r="C119" i="1"/>
  <c r="D119" i="1"/>
  <c r="E119" i="1"/>
  <c r="C118" i="1"/>
  <c r="D118" i="1"/>
  <c r="E118" i="1"/>
  <c r="A141" i="1"/>
  <c r="A142" i="1"/>
  <c r="A137" i="1"/>
  <c r="A138" i="1"/>
  <c r="A139" i="1"/>
  <c r="A140" i="1"/>
  <c r="A120" i="1"/>
  <c r="A121" i="1"/>
  <c r="A122" i="1"/>
  <c r="A123" i="1"/>
  <c r="A124" i="1"/>
  <c r="A125" i="1"/>
  <c r="A126" i="1"/>
  <c r="A127" i="1"/>
  <c r="A128" i="1"/>
  <c r="A129" i="1"/>
  <c r="A130" i="1"/>
  <c r="A131" i="1"/>
  <c r="A132" i="1"/>
  <c r="A133" i="1"/>
  <c r="A134" i="1"/>
  <c r="A135" i="1"/>
  <c r="A136" i="1"/>
  <c r="A119" i="1"/>
  <c r="C117" i="1"/>
  <c r="D117" i="1"/>
  <c r="E117" i="1"/>
  <c r="C116" i="1"/>
  <c r="D116" i="1"/>
  <c r="E116" i="1"/>
  <c r="C115" i="1"/>
  <c r="D115" i="1"/>
  <c r="E115" i="1"/>
  <c r="C114" i="1"/>
  <c r="D114" i="1"/>
  <c r="E114" i="1"/>
  <c r="C113" i="1"/>
  <c r="D113" i="1"/>
  <c r="E113" i="1"/>
  <c r="C112" i="1"/>
  <c r="D112" i="1"/>
  <c r="E112" i="1"/>
  <c r="C111" i="1"/>
  <c r="D111" i="1"/>
  <c r="E111" i="1"/>
  <c r="C110" i="1"/>
  <c r="D110" i="1"/>
  <c r="E110" i="1"/>
  <c r="C109" i="1"/>
  <c r="D109" i="1"/>
  <c r="E109" i="1"/>
  <c r="C108" i="1"/>
  <c r="D108" i="1"/>
  <c r="E108" i="1"/>
  <c r="C107" i="1"/>
  <c r="D107" i="1"/>
  <c r="E107" i="1"/>
  <c r="C106" i="1"/>
  <c r="D106" i="1"/>
  <c r="E106" i="1"/>
  <c r="C105" i="1"/>
  <c r="D105" i="1"/>
  <c r="E105" i="1"/>
  <c r="C104" i="1"/>
  <c r="D104" i="1"/>
  <c r="E104" i="1"/>
  <c r="C103" i="1"/>
  <c r="D103" i="1"/>
  <c r="E103" i="1"/>
  <c r="C102" i="1"/>
  <c r="D102" i="1"/>
  <c r="E102" i="1"/>
  <c r="C101" i="1"/>
  <c r="D101" i="1"/>
  <c r="E101" i="1"/>
  <c r="C100" i="1"/>
  <c r="D100" i="1"/>
  <c r="E100" i="1"/>
  <c r="C99" i="1"/>
  <c r="D99" i="1"/>
  <c r="E99" i="1"/>
  <c r="C98" i="1"/>
  <c r="D98" i="1"/>
  <c r="E98" i="1"/>
  <c r="C97" i="1"/>
  <c r="D97" i="1"/>
  <c r="E97" i="1"/>
  <c r="C96" i="1"/>
  <c r="D96" i="1"/>
  <c r="E96" i="1"/>
  <c r="C95" i="1"/>
  <c r="D95" i="1"/>
  <c r="E95" i="1"/>
  <c r="C94" i="1"/>
  <c r="D94" i="1"/>
  <c r="E94" i="1"/>
  <c r="C93" i="1"/>
  <c r="D93" i="1"/>
  <c r="E93" i="1"/>
  <c r="A117" i="1"/>
  <c r="A113" i="1"/>
  <c r="A114" i="1"/>
  <c r="A115" i="1"/>
  <c r="A116" i="1"/>
  <c r="A95" i="1"/>
  <c r="A96" i="1"/>
  <c r="A97" i="1"/>
  <c r="A98" i="1"/>
  <c r="A99" i="1"/>
  <c r="A100" i="1"/>
  <c r="A101" i="1"/>
  <c r="A102" i="1"/>
  <c r="A103" i="1"/>
  <c r="A104" i="1"/>
  <c r="A105" i="1"/>
  <c r="A106" i="1"/>
  <c r="A107" i="1"/>
  <c r="A108" i="1"/>
  <c r="A109" i="1"/>
  <c r="A110" i="1"/>
  <c r="A111" i="1"/>
  <c r="A112" i="1"/>
  <c r="A94" i="1"/>
  <c r="A3" i="1"/>
  <c r="C92" i="1"/>
  <c r="D92" i="1"/>
  <c r="E92" i="1"/>
  <c r="C91" i="1"/>
  <c r="D91" i="1"/>
  <c r="E91" i="1"/>
  <c r="C90" i="1"/>
  <c r="D90" i="1"/>
  <c r="E90" i="1"/>
  <c r="C89" i="1"/>
  <c r="D89" i="1"/>
  <c r="E89" i="1"/>
  <c r="C88" i="1"/>
  <c r="D88" i="1"/>
  <c r="E88" i="1"/>
  <c r="C87" i="1"/>
  <c r="D87" i="1"/>
  <c r="E87" i="1"/>
  <c r="C86" i="1"/>
  <c r="D86" i="1"/>
  <c r="E86" i="1"/>
  <c r="C85" i="1"/>
  <c r="D85" i="1"/>
  <c r="E85" i="1"/>
  <c r="C84" i="1"/>
  <c r="D84" i="1"/>
  <c r="E84" i="1"/>
  <c r="C83" i="1"/>
  <c r="D83" i="1"/>
  <c r="E83" i="1"/>
  <c r="C82" i="1"/>
  <c r="D82" i="1"/>
  <c r="E82" i="1"/>
  <c r="C81" i="1"/>
  <c r="D81" i="1"/>
  <c r="E81" i="1"/>
  <c r="C80" i="1"/>
  <c r="D80" i="1"/>
  <c r="E80" i="1"/>
  <c r="C79" i="1"/>
  <c r="D79" i="1"/>
  <c r="E79" i="1"/>
  <c r="C78" i="1"/>
  <c r="D78" i="1"/>
  <c r="E78" i="1"/>
  <c r="C77" i="1"/>
  <c r="D77" i="1"/>
  <c r="E77" i="1"/>
  <c r="C76" i="1"/>
  <c r="D76" i="1"/>
  <c r="E76" i="1"/>
  <c r="C75" i="1"/>
  <c r="D75" i="1"/>
  <c r="E75" i="1"/>
  <c r="C74" i="1"/>
  <c r="D74" i="1"/>
  <c r="E74" i="1"/>
  <c r="C73" i="1"/>
  <c r="D73" i="1"/>
  <c r="E73" i="1"/>
  <c r="C72" i="1"/>
  <c r="D72" i="1"/>
  <c r="E72" i="1"/>
  <c r="C71" i="1"/>
  <c r="D71" i="1"/>
  <c r="E71" i="1"/>
  <c r="C70" i="1"/>
  <c r="D70" i="1"/>
  <c r="E70" i="1"/>
  <c r="C69" i="1"/>
  <c r="D69" i="1"/>
  <c r="E69" i="1"/>
  <c r="C68" i="1"/>
  <c r="D68" i="1"/>
  <c r="E68" i="1"/>
  <c r="A92" i="1"/>
  <c r="A87" i="1"/>
  <c r="A88" i="1"/>
  <c r="A89" i="1"/>
  <c r="A90" i="1"/>
  <c r="A91" i="1"/>
  <c r="A78" i="1"/>
  <c r="A79" i="1"/>
  <c r="A80" i="1"/>
  <c r="A81" i="1"/>
  <c r="A82" i="1"/>
  <c r="A83" i="1"/>
  <c r="A84" i="1"/>
  <c r="A85" i="1"/>
  <c r="A86" i="1"/>
  <c r="A70" i="1"/>
  <c r="A71" i="1"/>
  <c r="A72" i="1"/>
  <c r="A73" i="1"/>
  <c r="A74" i="1"/>
  <c r="A75" i="1"/>
  <c r="A76" i="1"/>
  <c r="A77" i="1"/>
  <c r="A69" i="1"/>
  <c r="C67" i="1"/>
  <c r="D67" i="1"/>
  <c r="E67" i="1"/>
  <c r="C66" i="1"/>
  <c r="D66" i="1"/>
  <c r="E66" i="1"/>
  <c r="C65" i="1"/>
  <c r="D65" i="1"/>
  <c r="E65" i="1"/>
  <c r="C64" i="1"/>
  <c r="D64" i="1"/>
  <c r="E64" i="1"/>
  <c r="C63" i="1"/>
  <c r="D63" i="1"/>
  <c r="E63" i="1"/>
  <c r="C62" i="1"/>
  <c r="D62" i="1"/>
  <c r="E62" i="1"/>
  <c r="C61" i="1"/>
  <c r="D61" i="1"/>
  <c r="E61" i="1"/>
  <c r="C60" i="1"/>
  <c r="D60" i="1"/>
  <c r="E60" i="1"/>
  <c r="C59" i="1"/>
  <c r="D59" i="1"/>
  <c r="E59" i="1"/>
  <c r="C58" i="1"/>
  <c r="D58" i="1"/>
  <c r="E58" i="1"/>
  <c r="C57" i="1"/>
  <c r="D57" i="1"/>
  <c r="E57" i="1"/>
  <c r="C56" i="1"/>
  <c r="D56" i="1"/>
  <c r="E56" i="1"/>
  <c r="C55" i="1"/>
  <c r="D55" i="1"/>
  <c r="E55" i="1"/>
  <c r="C54" i="1"/>
  <c r="D54" i="1"/>
  <c r="E54" i="1"/>
  <c r="C53" i="1"/>
  <c r="D53" i="1"/>
  <c r="E53" i="1"/>
  <c r="C52" i="1"/>
  <c r="D52" i="1"/>
  <c r="E52" i="1"/>
  <c r="C51" i="1"/>
  <c r="D51" i="1"/>
  <c r="E51" i="1"/>
  <c r="C50" i="1"/>
  <c r="D50" i="1"/>
  <c r="E50" i="1"/>
  <c r="C49" i="1"/>
  <c r="D49" i="1"/>
  <c r="E49" i="1"/>
  <c r="C48" i="1"/>
  <c r="D48" i="1"/>
  <c r="E48" i="1"/>
  <c r="C47" i="1"/>
  <c r="D47" i="1"/>
  <c r="E47" i="1"/>
  <c r="C46" i="1"/>
  <c r="D46" i="1"/>
  <c r="E46" i="1"/>
  <c r="C45" i="1"/>
  <c r="D45" i="1"/>
  <c r="E45" i="1"/>
  <c r="C44" i="1"/>
  <c r="D44" i="1"/>
  <c r="E44" i="1"/>
  <c r="C43" i="1"/>
  <c r="D43" i="1"/>
  <c r="E43" i="1"/>
  <c r="C42" i="1"/>
  <c r="D42" i="1"/>
  <c r="E42" i="1"/>
  <c r="C41" i="1"/>
  <c r="D41" i="1"/>
  <c r="E41" i="1"/>
  <c r="C40" i="1"/>
  <c r="D40" i="1"/>
  <c r="E40" i="1"/>
  <c r="C39" i="1"/>
  <c r="D39" i="1"/>
  <c r="E39" i="1"/>
  <c r="C38" i="1"/>
  <c r="D38" i="1"/>
  <c r="E38" i="1"/>
  <c r="C37" i="1"/>
  <c r="D37" i="1"/>
  <c r="E37" i="1"/>
  <c r="C36" i="1"/>
  <c r="D36" i="1"/>
  <c r="E36" i="1"/>
  <c r="C35" i="1"/>
  <c r="D35" i="1"/>
  <c r="E35" i="1"/>
  <c r="C34" i="1"/>
  <c r="D34" i="1"/>
  <c r="E34" i="1"/>
  <c r="C33" i="1"/>
  <c r="D33" i="1"/>
  <c r="E33" i="1"/>
  <c r="C32" i="1"/>
  <c r="D32" i="1"/>
  <c r="E32" i="1"/>
  <c r="C31" i="1"/>
  <c r="D31" i="1"/>
  <c r="E31" i="1"/>
  <c r="C30" i="1"/>
  <c r="D30" i="1"/>
  <c r="E30" i="1"/>
  <c r="C29" i="1"/>
  <c r="D29" i="1"/>
  <c r="E29" i="1"/>
  <c r="C28" i="1"/>
  <c r="D28" i="1"/>
  <c r="E28" i="1"/>
  <c r="C27" i="1"/>
  <c r="D27" i="1"/>
  <c r="E27" i="1"/>
  <c r="C26" i="1"/>
  <c r="D26" i="1"/>
  <c r="E26" i="1"/>
  <c r="A50" i="1"/>
  <c r="A45" i="1"/>
  <c r="A46" i="1"/>
  <c r="A47" i="1"/>
  <c r="A48" i="1"/>
  <c r="A49" i="1"/>
  <c r="A28" i="1"/>
  <c r="A29" i="1"/>
  <c r="A30" i="1"/>
  <c r="A31" i="1"/>
  <c r="A32" i="1"/>
  <c r="A33" i="1"/>
  <c r="A34" i="1"/>
  <c r="A35" i="1"/>
  <c r="A36" i="1"/>
  <c r="A37" i="1"/>
  <c r="A38" i="1"/>
  <c r="A39" i="1"/>
  <c r="A40" i="1"/>
  <c r="A41" i="1"/>
  <c r="A42" i="1"/>
  <c r="A43" i="1"/>
  <c r="A44" i="1"/>
  <c r="A27" i="1"/>
  <c r="E3" i="1"/>
  <c r="E4" i="1"/>
  <c r="E5" i="1"/>
  <c r="E6" i="1"/>
  <c r="E7" i="1"/>
  <c r="E8" i="1"/>
  <c r="E9" i="1"/>
  <c r="E10" i="1"/>
  <c r="E11" i="1"/>
  <c r="E12" i="1"/>
  <c r="E13" i="1"/>
  <c r="E14" i="1"/>
  <c r="E15" i="1"/>
  <c r="E16" i="1"/>
  <c r="E17" i="1"/>
  <c r="E18" i="1"/>
  <c r="E19" i="1"/>
  <c r="E20" i="1"/>
  <c r="E21" i="1"/>
  <c r="E22" i="1"/>
  <c r="E23" i="1"/>
  <c r="E24" i="1"/>
  <c r="E25" i="1"/>
  <c r="D3" i="1"/>
  <c r="D4" i="1"/>
  <c r="D5" i="1"/>
  <c r="D6" i="1"/>
  <c r="D7" i="1"/>
  <c r="D8" i="1"/>
  <c r="D9" i="1"/>
  <c r="D10" i="1"/>
  <c r="D11" i="1"/>
  <c r="D12" i="1"/>
  <c r="D13" i="1"/>
  <c r="D14" i="1"/>
  <c r="D15" i="1"/>
  <c r="D16" i="1"/>
  <c r="D17" i="1"/>
  <c r="D18" i="1"/>
  <c r="D19" i="1"/>
  <c r="D20" i="1"/>
  <c r="D21" i="1"/>
  <c r="D22" i="1"/>
  <c r="D23" i="1"/>
  <c r="D24" i="1"/>
  <c r="D25" i="1"/>
  <c r="C3" i="1"/>
  <c r="C4" i="1"/>
  <c r="C5" i="1"/>
  <c r="C6" i="1"/>
  <c r="C7" i="1"/>
  <c r="C8" i="1"/>
  <c r="C9" i="1"/>
  <c r="C10" i="1"/>
  <c r="C11" i="1"/>
  <c r="C12" i="1"/>
  <c r="C13" i="1"/>
  <c r="C14" i="1"/>
  <c r="C15" i="1"/>
  <c r="C16" i="1"/>
  <c r="C17" i="1"/>
  <c r="C18" i="1"/>
  <c r="C19" i="1"/>
  <c r="C20" i="1"/>
  <c r="C21" i="1"/>
  <c r="C22" i="1"/>
  <c r="C23" i="1"/>
  <c r="C24" i="1"/>
  <c r="C25" i="1"/>
  <c r="A25" i="1"/>
  <c r="A16" i="1"/>
  <c r="A17" i="1"/>
  <c r="A18" i="1"/>
  <c r="A19" i="1"/>
  <c r="A20" i="1"/>
  <c r="A21" i="1"/>
  <c r="A22" i="1"/>
  <c r="A23" i="1"/>
  <c r="A24" i="1"/>
  <c r="A4" i="1"/>
  <c r="A5" i="1"/>
  <c r="A6" i="1"/>
  <c r="A7" i="1"/>
  <c r="A8" i="1"/>
  <c r="A9" i="1"/>
  <c r="A10" i="1"/>
  <c r="A11" i="1"/>
  <c r="A12" i="1"/>
  <c r="A13" i="1"/>
  <c r="A14" i="1"/>
  <c r="A15" i="1"/>
  <c r="E2" i="1"/>
  <c r="D2" i="1"/>
  <c r="C2" i="1"/>
</calcChain>
</file>

<file path=xl/sharedStrings.xml><?xml version="1.0" encoding="utf-8"?>
<sst xmlns="http://schemas.openxmlformats.org/spreadsheetml/2006/main" count="516" uniqueCount="277">
  <si>
    <t>AudioFile</t>
  </si>
  <si>
    <t>Transcript</t>
  </si>
  <si>
    <t>Option_A</t>
  </si>
  <si>
    <t>Option_B</t>
  </si>
  <si>
    <t>Option_C</t>
  </si>
  <si>
    <t>CorrectAnswer</t>
  </si>
  <si>
    <t>Level</t>
  </si>
  <si>
    <t xml:space="preserve">Test1_Part2_Q1.mp3
</t>
  </si>
  <si>
    <t xml:space="preserve">When did you buy your new phone? 
(A) The store is close to my house. 
(B) Last week when it was on sale. 
(C) I think it's the same number. </t>
  </si>
  <si>
    <t>B</t>
  </si>
  <si>
    <t xml:space="preserve">Do you know where Keiko's office is? 
(A) That's the official logo. 
(B) To reserve a room. 
(C) It's on the second floor. </t>
  </si>
  <si>
    <t>C</t>
  </si>
  <si>
    <t xml:space="preserve">That was a short movie, wasn't it? 
(A) The theater on Glenn Road. 
(B) You're right-it was only an hour! 
(C) I must have misplaced it. </t>
  </si>
  <si>
    <t xml:space="preserve">
Where can I find a building directory? 
(A) In two weeks. 
(B) No, thank you. 
(C) Near the front entrance. </t>
  </si>
  <si>
    <t xml:space="preserve">Who's going to lead the merger 
negotiations? 
(A) John Sanchez is. 
(B) Thanks, I appreciate it. 
(C) No, that's not mine. </t>
  </si>
  <si>
    <t>A</t>
  </si>
  <si>
    <t xml:space="preserve">How do I contact the financial consultant? 
(A) A free consultation. 
(B) He left his business card. 
(C) In a few more days. </t>
  </si>
  <si>
    <t xml:space="preserve">When is the health inspector coming? 
(A) Anytime this week. 
(B) It's good for your health. 
(C) At the back door. </t>
  </si>
  <si>
    <t xml:space="preserve">Wasn't this assignment due last week? 
(A) It's taking longer than we thought. 
(B) Sign at the bottom of the page. 
(C) No, you don't need permission. </t>
  </si>
  <si>
    <t xml:space="preserve">
Whose turn is it to buy coffee? 
(A) Two sugars please. 
(B) In the kitchen. 
(C) I already bought it. </t>
  </si>
  <si>
    <t xml:space="preserve">Where will the company retreat be next 
year? 
(A) Every year. 
(B) It hasn't been decided yet. 
(C) Yes, I've been there. </t>
  </si>
  <si>
    <t xml:space="preserve">Let's discuss the building designs this morning. 
(A) We can do it this afternoon instead. 
(B) The sign on the wall. 
(C) Does he work in that building, too? </t>
  </si>
  <si>
    <t xml:space="preserve">
Why is there a cake sitting out on the front 
desk? 
(A) The potted plant on the ground. 
(B) I'll answer the phone. 
(C) Because Barb's party is today. </t>
  </si>
  <si>
    <t xml:space="preserve">How are we going to move all of these office 
chairs? 
(A) Sergio will help us. 
(B) Across the hallway. 
(C) Have a seat by the window. </t>
  </si>
  <si>
    <t xml:space="preserve">Have you gone to the leadership training 
yet? 
(A) A new training manual. 
(B) Sure, we can leave some for you. 
(C) I didn't know it was required. </t>
  </si>
  <si>
    <t xml:space="preserve">Why don't we start marketing to a younger 
audience? 
(A) That's a really good idea. 
(B) The film starts at nine. 
(C) Fifteen should be enough. </t>
  </si>
  <si>
    <t xml:space="preserve">What kind of tablet computer do you have? 
(A) I have a few more minutes. 
(B) An electronics store nearby. 
(C) Are you thinking of buying one? </t>
  </si>
  <si>
    <t xml:space="preserve">Wouldn't you rather travel somewhere 
during your time off? 
(A) A round-trip ticket for two thousand 
dollars. 
(B) I'm planning to paint my house. 
(C) I would follow up with Sahar. </t>
  </si>
  <si>
    <t xml:space="preserve">You gave the customers the bill, didn't you? 
(A) A reliable delivery service. 
(B) That's an impressive offer. 
(C) Hasn't the payment arrived yet? </t>
  </si>
  <si>
    <t>How soon can you finish the Sterling report? 
(A) He's a reporter there. 
(B) I'll be done before lunch. 
(C) Please make ten copies.</t>
  </si>
  <si>
    <t xml:space="preserve">Would you like your receipt now, or shall I 
put it in the bag? 
(A) Just put it in my bag, thanks. 
(B) About twenty-five euros. 
(C) That's a great looking sweater. </t>
  </si>
  <si>
    <t xml:space="preserve">The registration deadline is on Friday. 
(A) Where did you hear that? 
(B) They arrived already. 
(C) Yes, I'd like to. </t>
  </si>
  <si>
    <t xml:space="preserve">Your airline has an overnight flight to Delhi, 
doesn't it? 
(A) The nearest train station. 
(B) Yes, it departs at eight P.M. 
(C) Usually at a hotel downtown. </t>
  </si>
  <si>
    <t xml:space="preserve">I can't seem to open the file you sent me. 
(A) Yes, the post office is still open. 
(B) Sorry-1'11 try sending it again. 
(C) We can't see that far either. </t>
  </si>
  <si>
    <t xml:space="preserve">
Would you like to include breakfast in your 
room reservation? 
(A) Sure, that'll be fine. 
(B) Check-in is at three o'clock. 
(C) A view of the ocean, if possible. </t>
  </si>
  <si>
    <t>Test2_Part2_Q1.mp3</t>
  </si>
  <si>
    <t xml:space="preserve">Where did you leave the account files? 
(A) In your mailbox. 
(B) To South America. 
(C) No, I live nearby. </t>
  </si>
  <si>
    <t xml:space="preserve">Who should I call about the broken window? 
(A) The maintenance department. 
(B) Try not to leave it open. 
(C) Around nine o'clock. </t>
  </si>
  <si>
    <t xml:space="preserve">You ordered more parts for the motor, right? 
(A) I promoted him. 
(B) Thanks, it's a new model. 
(C) Yes, last week. </t>
  </si>
  <si>
    <t xml:space="preserve">When is the rent due? 
(A) Please send it by Friday. 
(B) I do have one. 
(C) The new apartment complex. </t>
  </si>
  <si>
    <t xml:space="preserve">Why don't we submit the supply request? 
(A) OK, I'll print it out. 
(B) Yesterday morning. 
(C) Yes, we do. </t>
  </si>
  <si>
    <t xml:space="preserve">Won't you be at the panel discussion 
tomorrow? 
(A) The presentation schedule. 
(B) The brown panels look nice. 
(C) No, I'm leaving the conference tonight. </t>
  </si>
  <si>
    <t xml:space="preserve">When did Susan ask for a computer 
upgrade? 
(A) About an hour. 
(B) Sometime last week. 
(C) To business class. </t>
  </si>
  <si>
    <t xml:space="preserve">Do you work in marketing or public policy? 
(A) It's open to the public. 
(B) I don't like the new policies. 
(C) Neither, actually. </t>
  </si>
  <si>
    <t xml:space="preserve">Are you available for an interview next 
Tuesday? 
(A) Yes, I'd be happy to come in. 
(B) A bit earlier next time. 
(C) Sure, let's go over the weekend. </t>
  </si>
  <si>
    <t xml:space="preserve">How did you make this soup? 
(A) Quite a long time. 
(B) Here's a copy of the recipe. 
(C) For Saturday night. </t>
  </si>
  <si>
    <t xml:space="preserve">Wasn't the office furniture shipped last 
month? 
(A) The delivery's been delayed. 
(B) Ms. Martinez does. 
(C) A more modern design. </t>
  </si>
  <si>
    <t xml:space="preserve">Do you have some paper clips I can use? 
(A) The paper comes in several colors. 
(B) I found it very useful. 
(C) How many do you need? </t>
  </si>
  <si>
    <t>How do I change my password? 
(A) I don't have any more. 
(B) You'd better ask Ms. Wang. 
(C) Yes, you can log in now.</t>
  </si>
  <si>
    <t xml:space="preserve">You can't get us an earlier flight, can you? 
(A) It's a wonderful city. 
(B) I usually pack light. 
(C) No, they're all fully booked. </t>
  </si>
  <si>
    <t xml:space="preserve">Why is the door locked? 
(A) I'm sure security can open it. 
(B) Six o'clock every day. 
(C) It's right around the corner. </t>
  </si>
  <si>
    <t xml:space="preserve">Are you using the copier? 
(A) Would you like some more? 
(B) You go ahead. 
(C) Mr. Tong's office. </t>
  </si>
  <si>
    <t xml:space="preserve">1 really need the updated expense report. 
(A) The trip to London. 
(B) It wasn't that expensive. 
(C) I'll send it as soon as possible. </t>
  </si>
  <si>
    <t xml:space="preserve">Who's leading the logo design project? 
(A) I can lead you there. 
(B) By the third of October. 
(C) We're still deciding. </t>
  </si>
  <si>
    <t xml:space="preserve">What happened at the workshop yesterday? 
(A) It's been working fine. 
(B) I missed it, too. 
(C) I like that shop. </t>
  </si>
  <si>
    <t>Is there a dressing room where I can try these 
sweaters on? 
(A) The store opened at 10 A.M. 
(B) How would you like to pay? 
(C) They're all occupied right now.</t>
  </si>
  <si>
    <t xml:space="preserve">The dinner with the clients is Wednesday. 
(A) Four copies, please. 
(B) I'm sure that he did. 
(C) That's not w hat I was told. </t>
  </si>
  <si>
    <t xml:space="preserve">Why is the financial forecast still not 
finished? 
(A) They're forecasting rain. 
(B) In the finance department. 
(C) You didn't receive it? </t>
  </si>
  <si>
    <t xml:space="preserve">What did you think about that presenter? 
(A) I wish he could train my team. 
(B) Thanks, that's good to know. 
(C) About three times a week. </t>
  </si>
  <si>
    <t xml:space="preserve">Is our production line operating again? 
(A) That's a high rating. 
(B) Not quite, but almost. 
(C) Yes, I have. </t>
  </si>
  <si>
    <t xml:space="preserve">I'm going to put on my sweater. 
(A) The morning weather report. 
(B) I could turn the heat up. 
(C) I haven't decided yet. </t>
  </si>
  <si>
    <t>Test3_Part2_Q1.mp3</t>
  </si>
  <si>
    <t xml:space="preserve">Where are the new printers being made? 
(A) Mr. Cruz printed them already. 
(B) In Toronto. 
(C) Eight hundred dollars. </t>
  </si>
  <si>
    <t xml:space="preserve">When should we ship this order? 
(A) Shipping is free. 
(B) That's a really short time. 
(C) The customer just canceled it. </t>
  </si>
  <si>
    <t xml:space="preserve">The storage closet is locked, isn't it? 
(A) Yes, but I'll give you the key. 
(B) There should be more in there. 
(C) Please close it. </t>
  </si>
  <si>
    <t>Test3_Part2_Q3.mp3</t>
  </si>
  <si>
    <t>Test3_Part2_Q4.mp3</t>
  </si>
  <si>
    <t>Test3_Part2_Q5.mp3</t>
  </si>
  <si>
    <t>Test3_Part2_Q6.mp3</t>
  </si>
  <si>
    <t>Test3_Part2_Q7.mp3</t>
  </si>
  <si>
    <t>Test3_Part2_Q8.mp3</t>
  </si>
  <si>
    <t>Test3_Part2_Q9.mp3</t>
  </si>
  <si>
    <t>Test3_Part2_Q10.mp3</t>
  </si>
  <si>
    <t>Test3_Part2_Q11.mp3</t>
  </si>
  <si>
    <t>Test3_Part2_Q12.mp3</t>
  </si>
  <si>
    <t>Test3_Part2_Q13.mp3</t>
  </si>
  <si>
    <t>Test3_Part2_Q16.mp3</t>
  </si>
  <si>
    <t>Test3_Part2_Q19.mp3</t>
  </si>
  <si>
    <t>Test3_Part2_Q21.mp3</t>
  </si>
  <si>
    <t>Test3_Part2_Q22.mp3</t>
  </si>
  <si>
    <t>Test3_Part2_Q23.mp3</t>
  </si>
  <si>
    <t xml:space="preserve">Do I need to use a microphone to give my 
speech? 
(A) Right after lunch is served. 
(B) The room is quite small. 
(C) It was really well written. </t>
  </si>
  <si>
    <t xml:space="preserve">
Why did Marie leave early yesterday? 
(A) Can you read it again? 
(B) Around four P.M. 
(C) She had a dentist appointment. </t>
  </si>
  <si>
    <t xml:space="preserve">Would you like me to write up the contract 
now? 
(A) Yes, that'd be great. 
(B) She's probably right. 
(C) An e-mail address. </t>
  </si>
  <si>
    <t xml:space="preserve">Can I borrow that book after you're finished 
with it? 
(A) louise asked me first. 
(B) At the public library. 
(C) I checked it twice. </t>
  </si>
  <si>
    <t xml:space="preserve">Who's responsible for booking Mr. Chung's 
flights? 
(A) Next Monday. 
(B) Yes, it's on the calendar. 
(C) Sasha will make the arrangements. </t>
  </si>
  <si>
    <t xml:space="preserve">
Have we been selling more orange juice or 
apple juice? 
(A) About the same of both. 
(B) I'll have a glass with breakfast. 
(C) Next to the milk. </t>
  </si>
  <si>
    <t xml:space="preserve">When is the new intern's first day? 
(A) I'm not in charge of the interns this year. 
(B) She was the first to submit her 
application. 
(C) Six o'clock each night. </t>
  </si>
  <si>
    <t xml:space="preserve">Has Ms. Medrano been to the doctor's office 
yet? 
(A) No, her appointment isn't until noon. 
(B) Thanks, I'm feeling much better. 
(C) I'll probably wait in the lobby. </t>
  </si>
  <si>
    <t xml:space="preserve">Would you like indoor or outdoor seating? 
(A) It's a very comfortable chair. 
(B) Isn't it supposed to rain? 
(C) The doors are opening. </t>
  </si>
  <si>
    <t xml:space="preserve">Didn't Emir move to the corner office? 
(A) The bakery is around the corner. 
(B) Yes, I saw him in there this morning. 
(C) I know a good moving company. </t>
  </si>
  <si>
    <t xml:space="preserve">This e-mail from Mr. Robertson is rather 
unclear. 
(A) Yesterday afternoon. 
(B) I didn't understand it either. 
(C) At the post office downtown. </t>
  </si>
  <si>
    <t xml:space="preserve">Why don't we finish discussing this after 
lunch? 
(A) They're on the third floor. 
(B) Sure, I'll come back then. 
(C) No, just a chicken sandwich. </t>
  </si>
  <si>
    <t xml:space="preserve">Could you work my shift on Monday night? 
(A) Did you ask the manager first? 
(B) It's working fine now. 
(C) Last week, I think. </t>
  </si>
  <si>
    <t xml:space="preserve">I just received the weekly marketing report. 
(A) I prefer the supermarket on North Street. 
(B) The market data was quite surprising. 
(C) He's away on business. </t>
  </si>
  <si>
    <t>Test4_Part2_Q1.mp3</t>
  </si>
  <si>
    <t>Who was hired to be the manager's new 
assistant? 
(A) Jacob got the job. 
(B) OK, I'll give them a quick tour. 
(C) At this afternoon's staff meeting.</t>
  </si>
  <si>
    <t xml:space="preserve">When is the final budget due? 
(A) Tomorrow at five o'clock. 
(B) For the advertising department. 
(C) Mr. Tong's office. </t>
  </si>
  <si>
    <t xml:space="preserve">The store has another location in Brentwood, 
doesn't it? 
(A) It's on the top shelf. 
(B) A twenty percent discount. 
(C) Yes, there's one in the historic district. </t>
  </si>
  <si>
    <t xml:space="preserve">Would you care to join us for dinner? 
(A) She was late for work. 
(B) Please be careful. 
(C) Sorry, I have other plans. </t>
  </si>
  <si>
    <t xml:space="preserve">Did Lisa pick up the invitations from the 
printers? 
(A) On letterhead stationery, please. 
(B) No, she hasn't gotten to it yet. 
(C) The annual fund-raising banquet. </t>
  </si>
  <si>
    <t xml:space="preserve">Which dance performance did you like the 
best? 
(A) They were all so good. 
(B) Our seats are near the stage. 
(C) It should be very entertaining. </t>
  </si>
  <si>
    <t xml:space="preserve">
You're going to Melbourne soon, aren't you? 
(A) Yes, I leave at 3:00 P.M. 
(B) Because it's too expensive. 
(C) No, they weren't. </t>
  </si>
  <si>
    <t xml:space="preserve">When can we expect the shipment? 
(A) A large number of tables and chairs. 
(B) Not until next Tuesday afternoon. 
(C) At the post office on Main Street. </t>
  </si>
  <si>
    <t xml:space="preserve">Can you handle this client's complaint? 
(A) Yes, of course. 
(B) The accounts manager. 
(C) No, I didn't. </t>
  </si>
  <si>
    <t xml:space="preserve">
How much will it cost to fix this computer? 
(A) It'll be ready next week. 
(B) Replace the hard drive. 
(C) Is it still under w arranty? </t>
  </si>
  <si>
    <t xml:space="preserve">Won't Ellen be organizing the conference 
this year? 
(A) A well-organized event. 
(B) We've decided what to bring. 
(C) No, she's taking a year off. </t>
  </si>
  <si>
    <t xml:space="preserve">Where are the half-price shoes? 
(A) A missing price tag. 
(B) Sure, we'll buy those. 
(C) That sale ended yesterday. </t>
  </si>
  <si>
    <t xml:space="preserve">Does the apartment building have a parking 
area? 
(A) There's a public garage close by. 
(B) Many trees and flowers are in bloom 
now. 
(C) A two-bedroom apartment. </t>
  </si>
  <si>
    <t xml:space="preserve">When were these forms authorized? 
(A) He's written several books. 
(B) Our supervisor will know. 
(C) Another batch next Tuesday . </t>
  </si>
  <si>
    <t xml:space="preserve">The table should be set before the guests 
arrive. (A) No, twelve people at seven o'clock. 
(B) How was the party? 
(C) I'll do it right now. </t>
  </si>
  <si>
    <t xml:space="preserve">Today's all-staff meeting wasn't well 
attended, was it? 
(A) Many employees are out of the office. 
(B) It's in room five on the second floor. 
(C) Ten o'clock every day. </t>
  </si>
  <si>
    <t xml:space="preserve">Didn't you reschedule your vacation for 
August? 
(A) From Thailand and Vietnam. 
(B) A new travel agent. 
(C) No, I booked a trip in July. </t>
  </si>
  <si>
    <t xml:space="preserve">Which of this week's training sessions should 
I sign up for? 
(A) It'll last about four hours. 
(B) Attendance was fairly low. 
(C) They've been postponed until next 
month. </t>
  </si>
  <si>
    <t xml:space="preserve">
I'd like you to present your proposal at the 
next council meeting. 
(A) Thank you for the nice present. 
(B) Sure, I'd be happy to. 
(C) Yes, it was an interesting meeting. </t>
  </si>
  <si>
    <t>Should we make copies of the budget for the 
team or e-mail it to them? 
(A) A yearly statement. 
(B) Not everyone needs a copy. 
(C) They did well in the competition.</t>
  </si>
  <si>
    <t xml:space="preserve">I'll pick you up at the bus terminal at eight
thirty in the evening. 
(A) Great, I'll be there waiting. 
(B) I think Soo-Hee has them. 
(C) It's sold out. </t>
  </si>
  <si>
    <t xml:space="preserve">Will we hire one delivery driver or two? 
(A) Where's the license bureau? 
(B) His brother works here. 
(C) We really need two. </t>
  </si>
  <si>
    <t xml:space="preserve">Has the new software been installed on your 
computer yet? 
(A) He's from the Information Technology 
department. 
(B) I just got back from vacation today. 
(C) Several hundred dollars. </t>
  </si>
  <si>
    <t xml:space="preserve">Why are they cleaning the carpets now? 
(A) I'll see if one's available. 
(B) Is the noise bothering you? 
(C) No thanks, it's already been done. </t>
  </si>
  <si>
    <t xml:space="preserve">I thought we were moving to the new office 
next week. 
(A) There was an e-mail update about that. 
(B) Next to the break room. 
(C) To buy the packing supplies. </t>
  </si>
  <si>
    <t>Test5_Part2_Q1.mp3</t>
  </si>
  <si>
    <t xml:space="preserve">Let's meet in front of the theater at five. 
(A) OK, I'll see you there. 
(B) I thought it cost six dollars. 
(C) It's nice to meet you. </t>
  </si>
  <si>
    <t xml:space="preserve">When will the sink be repaired? 
(A) No, I don't think so. 
(B) From the hardware store. 
(C) By the end of the week. </t>
  </si>
  <si>
    <t xml:space="preserve">Have they painted this lobby? 
(A) On the last page. 
(B) It is brighter in here now. 
(C) There's one at the entrance. </t>
  </si>
  <si>
    <t xml:space="preserve">Where did you put those budget estimates? 
(A) They're on my desk. 
(B) Yes, I did. 
(C) He's at his attorney's office. </t>
  </si>
  <si>
    <t xml:space="preserve">Who's responsible for hiring decisions? 
(A) Ramon, the managing director. 
(B) The last week of each quarter. 
(C) I was hired last August. </t>
  </si>
  <si>
    <t xml:space="preserve">Isn't there a sporting event at the arena 
tonight? 
(A) No, I prefer art exhibits. 
(B) I guess he does. 
(C) let me check the schedule. </t>
  </si>
  <si>
    <t xml:space="preserve">Has your boss approved your transfer yet? 
(A) I just put in the request. 
(B) If you don't mind, thanks. 
(C) Let's get off at the next stop. </t>
  </si>
  <si>
    <t xml:space="preserve">
Could you pick Mr. Peterson up from the 
airport? 
(A) I haven't picked one. 
(B) A long flight. 
(C) Sure, at w hat time? </t>
  </si>
  <si>
    <t xml:space="preserve">How do you get to work every day? 
(A) We always start at nine. 
(B) I take the local train. 
(C) It's very busy here. </t>
  </si>
  <si>
    <t xml:space="preserve">I can't read the patient's handwriting on 
these forms. 
(A) Ask her to fill them out again. 
(B) It is a well-written film. 
(C) That depends on which post office. </t>
  </si>
  <si>
    <t xml:space="preserve">When is my first appointment today? 
(A) Around fifteen percent. 
(B) Yes, that's what I meant. 
(C) Not until after lunch. </t>
  </si>
  <si>
    <t xml:space="preserve">Why hasn't the real estate contract been 
signed yet? 
(A) It's under review. 
(B) I'm not signed up. 
(C) A few acres. </t>
  </si>
  <si>
    <t xml:space="preserve">How many kitchen appliances have been sold 
this week? 
(A) It's easy to apply. 
(B) Around thirty, I think. 
(C) We sell refrigerators. </t>
  </si>
  <si>
    <t xml:space="preserve">Would you mind if I kept the door open? 
(A) Isn't the hallway too noisy? 
(B) In the second drawer. 
(C) Yes, you can use it. </t>
  </si>
  <si>
    <t xml:space="preserve">When is the team from Konrad Company 
expected to arrive? 
(A) In the international terminal. 
(B) All the way from Amsterdam. 
(C) Ahmed made all those arrangements. </t>
  </si>
  <si>
    <t xml:space="preserve">This is the last interview scheduled for today, 
isn't it? 
(A) It does have a lovely view. 
(B) No, there's one more. 
(C) They preferred the old schedule. </t>
  </si>
  <si>
    <t xml:space="preserve">Which caterer is supplying food for the 
company picnic? 
(A) A large supply order. 
(B) The same one we used last year. 
(C) The orders have come in over the phone. </t>
  </si>
  <si>
    <t xml:space="preserve">Why don't we ask for two office assistants? 
(A) Yes, that's a good idea. 
(B) She works in human resources. 
(C) No, just a few days. </t>
  </si>
  <si>
    <t xml:space="preserve">Have we sold more tickets this year than last 
year? 
(A) I thought I put them in your mailbox. 
(B) I didn't organize the concert last year. 
(C) It will be held on Tuesday. </t>
  </si>
  <si>
    <t xml:space="preserve">Should I present the sales figures at today's 
meeting or tomorrow's? 
(A) Tomorrow's has been canceled. 
(B) Only a slight increase. 
(C) Are all purchases final? </t>
  </si>
  <si>
    <t>This jacket isn't as warm as I thought it 
would be. 
(A) With a matching scarf. 
(B) According to the weather report. 
(C) Would you like to go inside?</t>
  </si>
  <si>
    <t xml:space="preserve">We can leave our bags at the reception desk, 
can't we? 
(A) It ends at ten o'clock. 
(B) Of course we can. 
(C) There are plenty of rooms. </t>
  </si>
  <si>
    <t xml:space="preserve">Why is Shreya leaving the company? 
(A) A leader in the business. 
(B) I put it next to the window. 
(C) She found a job in Chicago. </t>
  </si>
  <si>
    <t xml:space="preserve">Should we go straight to the office, or stop 
by the hotel first? 
(A) There's room in the taxi. 
(B) Either is fine with me. 
(C) Yes, you're right. </t>
  </si>
  <si>
    <t xml:space="preserve">Does the security desk know that Mr. Ito is 
coming in today? 
(A) Maybe later, thanks. 
(B) It's in the top drawer. 
(C) You'd better call them. </t>
  </si>
  <si>
    <t>Test6_Part2_Q1.mp3</t>
  </si>
  <si>
    <t xml:space="preserve">Who's the new accountant? 
(A) Her name is Jee-Soo. 
(B) We're behind schedule. 
(C) Yes, they're from last month. </t>
  </si>
  <si>
    <t xml:space="preserve">Did you find musicians for the charity concert 
yet? 
(A) Four or five tickets. 
(B) She made a large donation. 
(C) I'm not in charge of the music. </t>
  </si>
  <si>
    <t xml:space="preserve">What still needs to be done before the grand 
opening? 
(A) Outside the store. 
(B) Yes, it's still on Friday. 
(C) I have a checklist. </t>
  </si>
  <si>
    <t xml:space="preserve">Where is the picnic being held this year? 
(A) I've made a list of supplies. 
(B) Try this gear. 
(C) In Madison Park. </t>
  </si>
  <si>
    <t xml:space="preserve">Do you want to walk in the park or at the 
indoor track? 
(A) It's a bit hot today. 
(B) I'll keep track of it. 
(C) My favorite pair of shoes. </t>
  </si>
  <si>
    <t xml:space="preserve">The report says our sales for this quarter are 
low. 
(A) She's sitting in row fifteen. 
(B) A marketing request. 
(C) I'll look at the results again. </t>
  </si>
  <si>
    <t xml:space="preserve">When are you going to submit the monthly 
report? 
(A) It'll be ready by the end of the day. 
(B) That's more money than expected. 
(C) He's a reporter for the local paper. </t>
  </si>
  <si>
    <t xml:space="preserve">
Would you care to try a sample of our new 
fruit juice? 
(A) That's a good point. 
(B) Is there pineapple in it? 
(C) I never knew that.</t>
  </si>
  <si>
    <t xml:space="preserve">
Could you revise this budget? 
(A) A reservation, please. 
(B) Ming, James, and Ana. 
(C) I may have time tomorrow. </t>
  </si>
  <si>
    <t xml:space="preserve">This stapler is Fernando's, isn't it?  
(A) Would you mind doing that? 
(B) In the newsletter. 
(C) Yes-you can leave it on his desk. </t>
  </si>
  <si>
    <t xml:space="preserve">Should we ask the waiter to bring us some 
water? 
(A) For about an hour. 
(B) Sure, when he comes back. 
(C) No, I haven't. </t>
  </si>
  <si>
    <t xml:space="preserve">Why did you rearrange the tables in the 
boardroom? 
(A) Eighteen chairs. 
(B) I'll have some coffee, thanks. 
(C) Because I had to make more space. </t>
  </si>
  <si>
    <t xml:space="preserve">Excuse me, do you have this shirt in red? 
(A) What size do you wear? 
(B) She went to that store, too. 
(C) A thirty-day return policy. </t>
  </si>
  <si>
    <t xml:space="preserve">What did you think of Ms. Delgado's job 
application? 
(A) She seems highly qualified. 
(B) At the job fair in Singapore. 
(C) Yes, I met him last week. </t>
  </si>
  <si>
    <t xml:space="preserve">How far along are you on the quarterly 
report? 
(A) I'm almost finished with it. 
(B) That's a good idea. 
(C) It's not very far from here. </t>
  </si>
  <si>
    <t xml:space="preserve">Don't we have enough supplies to finish 
painting the house? 
(A) I prefer to live by the train station. 
(B) Mary is checking the inventory now. 
(C) It pays twenty dollars an hour. </t>
  </si>
  <si>
    <t xml:space="preserve">You already booked your flight, didn't you? 
(A) No, I'll do it tonight. 
(B) I read that. 
(C) Just a suitcase. </t>
  </si>
  <si>
    <t xml:space="preserve">Where can I find the first-aid kit? 
(A) Isn't it in the cabinet? 
(B) Usually every evening. 
(C) It's very fast. </t>
  </si>
  <si>
    <t>Don't we have to review Joshua's 
presentation? 
(A) Yes, we were introduced. 
(B) It's a fantastic view. 
(C) He's given that presentation before.</t>
  </si>
  <si>
    <t xml:space="preserve">Do you want Mike or Hyun-Jung to be at the 
product launch tomorrow? 
(A) That lunch was delicious. 
(B) Sure, it was quite exciting. 
(C) Aren't you going? </t>
  </si>
  <si>
    <t xml:space="preserve">How do you change your password on the 
new system? 
(A) Unfortunately, they didn't pass. 
(B) I haven't used the new system yet. 
(C) Let's change the ink in the printer. </t>
  </si>
  <si>
    <t xml:space="preserve">Who was the keynote speaker at today's 
conference? 
(A) It's held every March. 
(B) About innovation. 
(C) Here's the conference schedule. </t>
  </si>
  <si>
    <t xml:space="preserve">Didn't we select an image for the newsletter 
already? 
(A) We did, but I don't like it. 
(B) A few pages long. 
(C) What type of computer? </t>
  </si>
  <si>
    <t>I don't know how to download mobile 
phone applications. 
(A) It isn't difficult. 
(B) A printed copy. 
(C) The road is closed</t>
  </si>
  <si>
    <t xml:space="preserve">Are you going to the lawyer's office for a 
meeting, or for something else? 
(A) Yes, the door on your right. 
(B) Just dropping off some forms. 
(C) It's a good law firm. </t>
  </si>
  <si>
    <t>Test7_Part2_Q1.mp3</t>
  </si>
  <si>
    <t xml:space="preserve">Where can I find the vice president's office? 
(A) It's on the second floor. 
(B) The filing cabinet on the left. 
(C) We have to use official stationery. </t>
  </si>
  <si>
    <t xml:space="preserve">Which desk is mine? 
(A) At noon on Wednesday. 
(B) My computer works. 
(C) The one next to the printer. </t>
  </si>
  <si>
    <t xml:space="preserve">Who ordered the side salad? 
(A) A fork and knife. 
(B) By credit card. 
(C) That was me. </t>
  </si>
  <si>
    <t xml:space="preserve">Wasn't Mr. Keller supposed to come to this 
business dinner? 
(A) Recruiting strategies. 
(B) Yes, he'll be here in ten minutes. 
(C) Would you prefer chicken? </t>
  </si>
  <si>
    <t xml:space="preserve">
When did they announce Barbara's 
promotion to vice president? 
(A) A hard worker. 
(B) On Monday. 
(C) Yes, she is.</t>
  </si>
  <si>
    <t xml:space="preserve">This is your first visit to this location, right? 
(A) Check the parking area. 
(B) No, I've been here before. 
(C) We won first prize! </t>
  </si>
  <si>
    <t xml:space="preserve">Have you seen the new film at the cinema 
yet? 
(A) No, I'm going to go see it tomorrow. 
(B) An award-winning movie director. 
(C) To visit my friend. </t>
  </si>
  <si>
    <t xml:space="preserve">Would you like to come to dinner with us 
later tonight? 
(A) I'm leading a workshop early tomorrow 
morning. 
(B) The farmers market sells them. 
(C) We'll find you a table in the back. </t>
  </si>
  <si>
    <t xml:space="preserve">Where did the accounting department move 
to? 
(A) I work in that department, too. 
(B) The company's bank account. 
(C) Right across the hall. </t>
  </si>
  <si>
    <t xml:space="preserve">How did the focus group respond to our new 
logo? 
(A) They liked it. 
(B) How can I focus this camera? 
(C) It's about four thirty . </t>
  </si>
  <si>
    <t xml:space="preserve">When does the reception start? 
(A) On Barton Avenue. 
(B) I didn't receive an invitation. 
(C) Seventy guests. </t>
  </si>
  <si>
    <t xml:space="preserve">Did you arrange to have the door repaired? 
(A) I bought a pair of scissors. 
(B) A range of quarterly data. 
(C) Yes, I put in a request yesterday. </t>
  </si>
  <si>
    <t xml:space="preserve">Why are production numbers so low this 
month? 
(A) One meter high. 
(B) Because some machines were down for 
repairs. 
(C) A few hundred units. </t>
  </si>
  <si>
    <t xml:space="preserve">Do you mind if I leave early today? 
(A) Has your report been submitted? 
(B) Twelve staff members attended. 
(C) A 50-dollar discount. </t>
  </si>
  <si>
    <t xml:space="preserve">Which software programs does Allison know 
how to use? 
(A) Here's a copy of her resume. 
(B) That's my computer. 
(C) Some technical consultants. </t>
  </si>
  <si>
    <t xml:space="preserve">What does the conference registration fee 
include? 
(A) All sessions plus lunch. 
(B) In Ballrooms 1 and 2. 
(C) That's a reasonable rate. </t>
  </si>
  <si>
    <t xml:space="preserve">Twenty people signed up for the team
building seminar. 
(A) The building was renovated. 
(B) My favorite sports team. 
(C) Great, that's more than last year. </t>
  </si>
  <si>
    <t xml:space="preserve">Can we begin production this week, or 
should we revise the timeline? 
(A) Improving efficiency. 
(B) I've seen that performance. 
(C) You can start this Thursday. </t>
  </si>
  <si>
    <t xml:space="preserve">How are we marketing our new beverage to 
young people? 
(A) Some pencils and notebooks, please. 
(B) Robert's in charge of that product. 
(C) Thanks, I'll just have water. </t>
  </si>
  <si>
    <t>You really should join that new fitness club. 
(A) Basketball and tennis. 
(B) Sorry I can't join you for dinner. 
(C) Yes, I'd li ke to get more exercise.</t>
  </si>
  <si>
    <t xml:space="preserve">Where can I get a laptop for our meeting? 
(A) The conference room has computers. 
(B) Yes, they're doing internships. 
(C) We meet once a week. </t>
  </si>
  <si>
    <t xml:space="preserve">Why do you want to sell your house? 
(A) We provide home delivery. 
(B) My new job's in London. 
(C) A real estate agency. </t>
  </si>
  <si>
    <t xml:space="preserve">I'm going to pick up the printing order now. 
(A) Yes, it was really fun. 
(B) Don't forget the receipt. 
(C) No, in alphabetical order. </t>
  </si>
  <si>
    <t xml:space="preserve">When is the new amusement park scheduled 
to open? 
(A) Probably in the city center. 
(B) There's an announcement in the 
newspaper. 
(C) Ten cents a copy. </t>
  </si>
  <si>
    <t xml:space="preserve">Do we have to submit our budget report on 
Friday, or is Monday OK? 
(A) It was pretty expensive. 
(B) He was here a few days ago. 
(C) Maria was firm about the deadline. </t>
  </si>
  <si>
    <t>Test8_Part2_Q1.mp3</t>
  </si>
  <si>
    <t xml:space="preserve">Did you buy a monthly parking pass? 
(A) I've prepared a new list. 
(B) I'm not very hungry. 
(C) Yes, at the beginning of January. </t>
  </si>
  <si>
    <t xml:space="preserve">Where should we put the microwave oven? 
(A) The food is very spicy. 
(B) On the back counter. 
(C) Very recently. </t>
  </si>
  <si>
    <t>Why can't the vice president attend the 
meeting? 
(A) Because he's on vacation this week. 
(B) Conference room four. 
(C) Thank you for the present.</t>
  </si>
  <si>
    <t xml:space="preserve">Isn't this the line for the theater's box office? 
(A) They're heavy, aren't they? 
(B) Yes, you're in the right place. 
(C) A seat near the stage. </t>
  </si>
  <si>
    <t xml:space="preserve">When can I update your computer software? 
(A) This afternoon would be best. 
(B) Because the monitor broke. 
(C) Just behind the printer. </t>
  </si>
  <si>
    <t xml:space="preserve">Nadia's on a business trip in Germany, isn't 
she? 
(A) We're usually busy on Tuesdays. 
(B) No, she leaves tomorrow. 
(C) I took a guided tour. </t>
  </si>
  <si>
    <t>How long does the legal team need to 
review the contracts? 
(A) Yes, the view's beautiful. 
(B) Five hundred dollars. 
(C) A few more days.</t>
  </si>
  <si>
    <t>Why don't we hire another receptionist? 
(A) Try restarting it. 
(B) Let's suggest it to our manager. 
(C) There's a reception at the gallery.</t>
  </si>
  <si>
    <t xml:space="preserve">Have you finished the budget report, or are 
you still working on it? 
(A) I'm almost done. 
(B) No, it's plastic. 
(C) Yes, I've eaten there. </t>
  </si>
  <si>
    <t xml:space="preserve">Are you training the new employees? 
(A) A one-way ticket . 
(B) Not this time. 
(C) All right, thanks. </t>
  </si>
  <si>
    <t>Can you call our Singapore office to confirm 
the client's address? 
(A) A short flight. 
(B) I'm late for a meeting. 
(C) Right, the cafeteria upstairs.</t>
  </si>
  <si>
    <t xml:space="preserve">Who still needs to submit their travel 
receipts? 
(A) I have to submit mine. 
(B) A rental property. 
(C) The trip went well, thanks. </t>
  </si>
  <si>
    <t xml:space="preserve">Why is our company Web site currently 
unavailable? 
(A) No, none are in stock. 
(B) I like t hat one too. 
(C) It's working for me. </t>
  </si>
  <si>
    <t>Where will the interns be seated? 
(A) I'll ask Martha. 
(B) A long internship. 
(C) Maybe tomorrow.</t>
  </si>
  <si>
    <t>What time does the train from Milan arrive? 
(A) Yes, in the training manual. 
(B) Two large suitcases. 
(C) It should be here soon.</t>
  </si>
  <si>
    <t xml:space="preserve">When can you complete the presentation? 
(A) From another vendor. 
(B) I have a lot of projects this week. 
(C) They're offering a discount. </t>
  </si>
  <si>
    <t xml:space="preserve">The elevator needs to be repaired. 
(A) We passed the park. 
(B) A twelve-story building. 
(C) The maintenance crew is on their way. </t>
  </si>
  <si>
    <t xml:space="preserve">Let's take our clients to the theater. 
(A) How about a restaurant instead? 
(B) Downstairs on the left. 
(C) I brought my own. </t>
  </si>
  <si>
    <t xml:space="preserve">Have you tried our grilled vegetable platter? 
(A) Because I already tried to. 
(B) She's at the supermarket. 
(C) No, is that a new menu item? </t>
  </si>
  <si>
    <t xml:space="preserve">How was last night's dance performance? 
(A) Three tickets, please. 
(B) That was our goal. 
(C) I had to work late. </t>
  </si>
  <si>
    <t xml:space="preserve">Why don't we close the store early for the 
staff meeting? 
(A) On the bottom shelf. 
(B) That's what we were planning to do. 
(C) The clothes are folded. </t>
  </si>
  <si>
    <t xml:space="preserve">I need to find a new dentist. 
(A) A morning appointment. 
(B) No, she's a technician. 
(C) Mine is excellent. </t>
  </si>
  <si>
    <t xml:space="preserve">Will your rent increase next year, or will it 
stay the same? 
(A) The lease agreement. 
(B) I'm getting a new apartment. 
(C) I lent it to him a while ago. </t>
  </si>
  <si>
    <t xml:space="preserve">Shouldn't we post the job opening online? 
(A) The post office. 
(B) Hang the painting on the north wall. 
(C) We have enough applicants. </t>
  </si>
  <si>
    <t xml:space="preserve">What does the timeline look like for the 
lobby renovations? 
(A) The schedule was e-mailed yesterday. 
(B) No, that's all right. 
(C) The six-thirty train. </t>
  </si>
  <si>
    <t>Test9_Part2_Q1.mp3</t>
  </si>
  <si>
    <t>What does the holiday package include? 
(A) No, it's not. 
(B) It includes your flight and hotel room. 
(C) From the main post office.</t>
  </si>
  <si>
    <t xml:space="preserve">When'll the factory inspection take place? 
(A) On March fifteenth. 
(B) A safety checklist. 
(C) We just ran out. </t>
  </si>
  <si>
    <t xml:space="preserve">Where can I buy tickets for the next exhibit 
tour? 
(A) At the first window. 
(B) Last Thursday. 
(C) No, it's too much. </t>
  </si>
  <si>
    <t xml:space="preserve">Isn't our new coffee excellent? 
(A) Cream and sugar, please. 
(B) Yeah- 1 like it a lot. 
(C) We don't have to. </t>
  </si>
  <si>
    <t xml:space="preserve">When is the new copier arriving? 
(A) Next Friday. 
(B) Yes, I just came back. 
(C) In the break room. </t>
  </si>
  <si>
    <t xml:space="preserve">There're boxes in the storage room, aren't 
there? 
(A) The total is four dollars. 
(B) Yes, he left for the day. 
(C) No, I used the last one. </t>
  </si>
  <si>
    <t xml:space="preserve">Karen, would you finish the presentation 
slides? 
(A) Sure, w hen do you need them? 
(B) Several members of the team. 
(C) I already bought a present. </t>
  </si>
  <si>
    <t xml:space="preserve">Will you be dining here, or would you like 
your food to go? 
(A) I heard that's not true. 
(B) She met him at lunch. 
(C) We'd like to eat here. </t>
  </si>
  <si>
    <t xml:space="preserve">Why is Alan working from home? 
(A) Because he's expecting a delivery. 
(B) I live on Twentieth Street. 
(C) A retail business. </t>
  </si>
  <si>
    <t xml:space="preserve">We're leaving at five for the holiday party. 
(A) Just a few groceries. 
(B) I have to w ork late tonight. 
(C) Did you have a good time? </t>
  </si>
  <si>
    <t xml:space="preserve">How did you manage to fix your computer? 
(A) By installing a software update. 
(B) I think he's a good manager. 
(C) They're very expensive. </t>
  </si>
  <si>
    <t xml:space="preserve">Should I take the train to the conference 
center? 
(A) Thank you. 
(B) I can carry that. 
(C) Yes, it's very fast. </t>
  </si>
  <si>
    <t xml:space="preserve">Didn't you buy more postage stamps last 
week? 
(A) The post office on the corner. 
(B) Yes, but we already used them. 
(C) A few years old. </t>
  </si>
  <si>
    <t xml:space="preserve">I think last year's technology trade show was 
better. 
(A) This is my first time here. 
(B) Laptop computers. 
(C) The Seattle office. </t>
  </si>
  <si>
    <t xml:space="preserve">May I borrow your stapler? 
(A) A thirty-page contract. 
(B) As soon as I'm finished with it. 
(C) I always stay there . </t>
  </si>
  <si>
    <t xml:space="preserve">Who should present their research at the 
seminar? 
(A) I think Lucy's data is impressive. 
(B) In the conference room. 
(C) Ten copies of this report, please . </t>
  </si>
  <si>
    <t xml:space="preserve">Why have our sales decreased recently? 
(A) Sure, I can slow it down. 
(B) Turn right at the next corner. 
(C) The vice president is investigating it. </t>
  </si>
  <si>
    <t xml:space="preserve">How is your new department manager doing 
at his job? 
(A) He's only been here a week. 
(B) Yeah, everyone in the company. 
(C) I'd like to order that too. </t>
  </si>
  <si>
    <t xml:space="preserve">Do you know if there's a break after this 
talk? 
(A) I spoke to him yesterday. 
(B) I'll check the schedule. 
(C) The administration building. </t>
  </si>
  <si>
    <t xml:space="preserve">Where can I charge my mobile phone? 
(A) A wireless device. 
(B) Every day at three o'clock. 
(C) Plug it in by the lamp. </t>
  </si>
  <si>
    <t xml:space="preserve">Which room can we use for Thursday's client 
reception? 
(A) To get to Tokyo. 
(B) About ten more workers. 
(C) We'll need a large space for the food. </t>
  </si>
  <si>
    <t xml:space="preserve">Are you going to accept the transfer to New 
York City? 
(A) That one over there. 
(B) I'm waiting to hear about the salary. 
(C) He's from London originally. </t>
  </si>
  <si>
    <t xml:space="preserve">Should we call the client before or after the 
staff meeting? 
(A) How long do you think it'll take? 
(B) A recently signed contract. 
(C) I don't think he did. </t>
  </si>
  <si>
    <t xml:space="preserve">This purchase order needs a signature. 
(A) Takeshi can do it. 
(B) The delivery should be on time. 
(C) A refundable payment. </t>
  </si>
  <si>
    <t xml:space="preserve">It wasn't supposed to rain today, was it? 
(A) The channel six forecast. 
(B) The price was a little too high. 
(C) You can borrow my umbrella. </t>
  </si>
  <si>
    <t>Test10_Part2_Q1.mp3</t>
  </si>
  <si>
    <t xml:space="preserve">Which restaurant did Mayumi recommend? 
(A) I don't think so. 
(B) Dinner at eight o'clock. 
(C) The French one. </t>
  </si>
  <si>
    <t xml:space="preserve">Could you find a different shirt for that 
customer? 
(A) Main Street. 
(B) Sure, what size? 
(C) A suit and a tie. </t>
  </si>
  <si>
    <t xml:space="preserve">When did you send me the invoice? 
(A) Because I've done a lot of work. 
(B) Keith from the marketing department. 
(C) Sometime last week. </t>
  </si>
  <si>
    <t>Where's the computer programming 
handbook? 
(A) Jim had it this morning. 
(B) A fifteen percent discount applies. 
(C) The printing company called.</t>
  </si>
  <si>
    <t xml:space="preserve">Isn't Mr. Akbari leading the accounting 
seminar? 
(A) Let's close the account. 
(B) The electric bill was paid. 
(C) No, I think it's Ms. Garcia. </t>
  </si>
  <si>
    <t xml:space="preserve">Why is traffic so slow today? 
(A) Just a rental car. 
(B) Because of road construction. 
(C) No, I worked yesterday. </t>
  </si>
  <si>
    <t xml:space="preserve">Let me help you fix the scanner. 
(A) Thanks, but I'm almost finished. 
(B) He's a new hire. 
(C) About twenty documents. </t>
  </si>
  <si>
    <t xml:space="preserve">Is there a code to unlock the door, or is it 
open? 
(A) It should be open. 
(B) There's a clock in here. 
(C) Just around the corner. </t>
  </si>
  <si>
    <t>What color folders would you like me to 
buy? 
(A) I'd prefer the blue ones. 
(B) Yes, please hold this for me. 
(C) At the stationery store .</t>
  </si>
  <si>
    <t xml:space="preserve">How can I request expedited shipping? 
(A) The last shipment. 
(B) Complete an order form online. 
(C) Overnight to Singapore. </t>
  </si>
  <si>
    <t xml:space="preserve">Don't we need to purchase more fabric 
samples? 
(A) Yes, I'll do that now. 
(B) Downstairs on the left. 
(C) I've already read it. </t>
  </si>
  <si>
    <t xml:space="preserve">Where can I find the Human Resources 
department? 
(A) Upstairs, to the right of the elevator. 
(B) All new employees have to watch it. 
(C) She's been working here for ten years. </t>
  </si>
  <si>
    <t xml:space="preserve">Who did you speak to about renting the 
apartment? 
(A) I think it was the property manager. 
(B) On the first of every month. 
(C) There's a part missing. </t>
  </si>
  <si>
    <t xml:space="preserve">Are you going to the museum or watching 
the baseball game? 
(A) About thirty euros. 
(B) I don't like sports. 
(C) Put your name here, please. </t>
  </si>
  <si>
    <t xml:space="preserve">Would you like me to review the budget 
report before you submit it? 
(A) No, I don't know him. 
(B) Yes, that'd be helpful. 
(C) At least 500 dollars. </t>
  </si>
  <si>
    <t xml:space="preserve">Do you plan to walk to the convention 
center? 
(A) At the job fair. 
(B) It was built last year. 
(C) Pablo has a car. </t>
  </si>
  <si>
    <t xml:space="preserve">We're out of flyers for our weekend sales 
event. 
(A) A newspaper article. 
(B) Is her flight on time? 
(C) There's a printer in my office. </t>
  </si>
  <si>
    <t xml:space="preserve">Weren't you planning to see a concert 
tonight? 
(A) The tickets are sold out. 
(B) I'll finish it right now. 
(C) A very famous painter. </t>
  </si>
  <si>
    <t xml:space="preserve">When will the presentation materials be 
ready? 
(A) New company policies. 
(B) I have two slides left to make. 
(C) A seat by the window. </t>
  </si>
  <si>
    <t xml:space="preserve">Who's working the closing shift next Monday 
night? 
(A) On the corner of Maple Street. 
(B) I'll take a look at the calendar. 
(C) Maybe the computer's not working. </t>
  </si>
  <si>
    <t xml:space="preserve">Can you call the Research Department to get 
a project update? 
(A) I'm meeting with them at two. 
(B) It's an old model. 
(C) Three months ago. </t>
  </si>
  <si>
    <t xml:space="preserve">
Doesn't the dentist's office open at seven 
A. M.? 
M-Cn (A) I think it opened last year. 
(B) Not on weekends. 
(C) What a great offer! </t>
  </si>
  <si>
    <t xml:space="preserve">The supplier said the cabinets will be 
delivered late. 
(A) The storage room is that way. 
(B) That's going to put us behind schedule. 
(C) Some new kitchen appliances. </t>
  </si>
  <si>
    <t xml:space="preserve">Ms. Jones arrived at four today, didn't she? 
(A) All flights were delayed. 
(B) No, departures are on the first floor. 
(C) Actually, a twenty percent bonus! </t>
  </si>
  <si>
    <t xml:space="preserve">How long did the team meeting last? 
(A) Production costs are high. 
(B) There was only one item on the agenda. 
(C) No, we were the first to arrive.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</si>
</sst>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F0E12-6FEA-4E2D-AE2B-06F40590ABBC}">
  <dimension ref="A1:G243"/>
  <sheetViews>
    <sheetView tabSelected="1" topLeftCell="A179" zoomScale="115" zoomScaleNormal="115" workbookViewId="0">
      <selection activeCell="F243" sqref="F243"/>
    </sheetView>
  </sheetViews>
  <sheetFormatPr defaultRowHeight="15" x14ac:dyDescent="0.25"/>
  <cols>
    <col min="1" max="1" width="27.7109375" style="1" customWidth="1"/>
    <col min="2" max="2" width="27.28515625" style="1" customWidth="1"/>
    <col min="3" max="3" width="57.7109375" style="1" customWidth="1"/>
    <col min="4" max="4" width="48.42578125" style="1" customWidth="1"/>
    <col min="5" max="5" width="46.140625" style="1" customWidth="1"/>
    <col min="6" max="6" width="14.28515625" style="1" bestFit="1" customWidth="1"/>
    <col min="7" max="7" width="14.140625" style="1" customWidth="1"/>
    <col min="8" max="16384" width="9.140625" style="1"/>
  </cols>
  <sheetData>
    <row r="1" spans="1:7" x14ac:dyDescent="0.25">
      <c r="A1" s="1" t="s">
        <v>0</v>
      </c>
      <c r="B1" s="1" t="s">
        <v>1</v>
      </c>
      <c r="C1" s="1" t="s">
        <v>2</v>
      </c>
      <c r="D1" s="1" t="s">
        <v>3</v>
      </c>
      <c r="E1" s="1" t="s">
        <v>4</v>
      </c>
      <c r="F1" s="1" t="s">
        <v>5</v>
      </c>
      <c r="G1" s="1" t="s">
        <v>6</v>
      </c>
    </row>
    <row r="2" spans="1:7" ht="102.75" customHeight="1" x14ac:dyDescent="0.25">
      <c r="A2" s="2" t="s">
        <v>7</v>
      </c>
      <c r="B2" s="2" t="s">
        <v>8</v>
      </c>
      <c r="C2" s="1" t="str">
        <f>TRIM(MID(B2, FIND("(A)", B2), FIND("(B)", B2) - FIND("(A)", B2)))</f>
        <v xml:space="preserve">(A) The store is close to my house. 
</v>
      </c>
      <c r="D2" s="1" t="str">
        <f>TRIM(MID(B2, FIND("(B)", B2), FIND("(C)", B2) - FIND("(B)", B2)))</f>
        <v xml:space="preserve">(B) Last week when it was on sale. 
</v>
      </c>
      <c r="E2" s="1" t="str">
        <f>TRIM(MID(B2, FIND("(C)", B2), LEN(B2)))</f>
        <v>(C) I think it's the same number.</v>
      </c>
      <c r="F2" s="1" t="s">
        <v>9</v>
      </c>
    </row>
    <row r="3" spans="1:7" ht="75" x14ac:dyDescent="0.25">
      <c r="A3" s="2" t="str">
        <f>"Test1_Part2_Q" &amp; ROW(A2) &amp; ".mp3"</f>
        <v>Test1_Part2_Q2.mp3</v>
      </c>
      <c r="B3" s="2" t="s">
        <v>10</v>
      </c>
      <c r="C3" s="1" t="str">
        <f t="shared" ref="C3:C242" si="0">TRIM(MID(B3, FIND("(A)", B3), FIND("(B)", B3) - FIND("(A)", B3)))</f>
        <v xml:space="preserve">(A) That's the official logo. 
</v>
      </c>
      <c r="D3" s="1" t="str">
        <f t="shared" ref="D3:D242" si="1">TRIM(MID(B3, FIND("(B)", B3), FIND("(C)", B3) - FIND("(B)", B3)))</f>
        <v xml:space="preserve">(B) To reserve a room. 
</v>
      </c>
      <c r="E3" s="1" t="str">
        <f t="shared" ref="E3:E242" si="2">TRIM(MID(B3, FIND("(C)", B3), LEN(B3)))</f>
        <v>(C) It's on the second floor.</v>
      </c>
      <c r="F3" s="1" t="s">
        <v>11</v>
      </c>
      <c r="G3" s="1">
        <v>1</v>
      </c>
    </row>
    <row r="4" spans="1:7" ht="105" x14ac:dyDescent="0.25">
      <c r="A4" s="2" t="str">
        <f t="shared" ref="A4:A25" si="3">"Test1_Part2_Q" &amp; ROW(A3) &amp; ".mp3"</f>
        <v>Test1_Part2_Q3.mp3</v>
      </c>
      <c r="B4" s="2" t="s">
        <v>12</v>
      </c>
      <c r="C4" s="1" t="str">
        <f t="shared" si="0"/>
        <v xml:space="preserve">(A) The theater on Glenn Road. 
</v>
      </c>
      <c r="D4" s="1" t="str">
        <f t="shared" si="1"/>
        <v xml:space="preserve">(B) You're right-it was only an hour! 
</v>
      </c>
      <c r="E4" s="1" t="str">
        <f t="shared" si="2"/>
        <v>(C) I must have misplaced it.</v>
      </c>
      <c r="F4" s="1" t="s">
        <v>9</v>
      </c>
      <c r="G4" s="1">
        <v>1</v>
      </c>
    </row>
    <row r="5" spans="1:7" ht="90" x14ac:dyDescent="0.25">
      <c r="A5" s="2" t="str">
        <f t="shared" si="3"/>
        <v>Test1_Part2_Q4.mp3</v>
      </c>
      <c r="B5" s="2" t="s">
        <v>13</v>
      </c>
      <c r="C5" s="1" t="str">
        <f t="shared" si="0"/>
        <v xml:space="preserve">(A) In two weeks. 
</v>
      </c>
      <c r="D5" s="1" t="str">
        <f t="shared" si="1"/>
        <v xml:space="preserve">(B) No, thank you. 
</v>
      </c>
      <c r="E5" s="1" t="str">
        <f t="shared" si="2"/>
        <v>(C) Near the front entrance.</v>
      </c>
      <c r="F5" s="1" t="s">
        <v>11</v>
      </c>
      <c r="G5" s="1">
        <v>1</v>
      </c>
    </row>
    <row r="6" spans="1:7" ht="90" x14ac:dyDescent="0.25">
      <c r="A6" s="2" t="str">
        <f t="shared" si="3"/>
        <v>Test1_Part2_Q5.mp3</v>
      </c>
      <c r="B6" s="2" t="s">
        <v>14</v>
      </c>
      <c r="C6" s="1" t="str">
        <f t="shared" si="0"/>
        <v xml:space="preserve">(A) John Sanchez is. 
</v>
      </c>
      <c r="D6" s="1" t="str">
        <f t="shared" si="1"/>
        <v xml:space="preserve">(B) Thanks, I appreciate it. 
</v>
      </c>
      <c r="E6" s="1" t="str">
        <f t="shared" si="2"/>
        <v>(C) No, that's not mine.</v>
      </c>
      <c r="F6" s="1" t="s">
        <v>15</v>
      </c>
      <c r="G6" s="1">
        <v>1</v>
      </c>
    </row>
    <row r="7" spans="1:7" ht="75" x14ac:dyDescent="0.25">
      <c r="A7" s="2" t="str">
        <f t="shared" si="3"/>
        <v>Test1_Part2_Q6.mp3</v>
      </c>
      <c r="B7" s="2" t="s">
        <v>16</v>
      </c>
      <c r="C7" s="1" t="str">
        <f t="shared" si="0"/>
        <v xml:space="preserve">(A) A free consultation. 
</v>
      </c>
      <c r="D7" s="1" t="str">
        <f t="shared" si="1"/>
        <v xml:space="preserve">(B) He left his business card. 
</v>
      </c>
      <c r="E7" s="1" t="str">
        <f t="shared" si="2"/>
        <v>(C) In a few more days.</v>
      </c>
      <c r="F7" s="1" t="s">
        <v>9</v>
      </c>
      <c r="G7" s="1">
        <v>1</v>
      </c>
    </row>
    <row r="8" spans="1:7" ht="75" x14ac:dyDescent="0.25">
      <c r="A8" s="2" t="str">
        <f t="shared" si="3"/>
        <v>Test1_Part2_Q7.mp3</v>
      </c>
      <c r="B8" s="2" t="s">
        <v>17</v>
      </c>
      <c r="C8" s="1" t="str">
        <f t="shared" si="0"/>
        <v xml:space="preserve">(A) Anytime this week. 
</v>
      </c>
      <c r="D8" s="1" t="str">
        <f t="shared" si="1"/>
        <v xml:space="preserve">(B) It's good for your health. 
</v>
      </c>
      <c r="E8" s="1" t="str">
        <f t="shared" si="2"/>
        <v>(C) At the back door.</v>
      </c>
      <c r="F8" s="1" t="s">
        <v>15</v>
      </c>
      <c r="G8" s="1">
        <v>1</v>
      </c>
    </row>
    <row r="9" spans="1:7" ht="120" x14ac:dyDescent="0.25">
      <c r="A9" s="2" t="str">
        <f t="shared" si="3"/>
        <v>Test1_Part2_Q8.mp3</v>
      </c>
      <c r="B9" s="2" t="s">
        <v>18</v>
      </c>
      <c r="C9" s="1" t="str">
        <f t="shared" si="0"/>
        <v xml:space="preserve">(A) It's taking longer than we thought. 
</v>
      </c>
      <c r="D9" s="1" t="str">
        <f t="shared" si="1"/>
        <v xml:space="preserve">(B) Sign at the bottom of the page. 
</v>
      </c>
      <c r="E9" s="1" t="str">
        <f t="shared" si="2"/>
        <v>(C) No, you don't need permission.</v>
      </c>
      <c r="F9" s="1" t="s">
        <v>15</v>
      </c>
      <c r="G9" s="1">
        <v>1</v>
      </c>
    </row>
    <row r="10" spans="1:7" ht="90" x14ac:dyDescent="0.25">
      <c r="A10" s="2" t="str">
        <f t="shared" si="3"/>
        <v>Test1_Part2_Q9.mp3</v>
      </c>
      <c r="B10" s="2" t="s">
        <v>19</v>
      </c>
      <c r="C10" s="1" t="str">
        <f t="shared" si="0"/>
        <v xml:space="preserve">(A) Two sugars please. 
</v>
      </c>
      <c r="D10" s="1" t="str">
        <f t="shared" si="1"/>
        <v xml:space="preserve">(B) In the kitchen. 
</v>
      </c>
      <c r="E10" s="1" t="str">
        <f t="shared" si="2"/>
        <v>(C) I already bought it.</v>
      </c>
      <c r="F10" s="1" t="s">
        <v>11</v>
      </c>
      <c r="G10" s="1">
        <v>1</v>
      </c>
    </row>
    <row r="11" spans="1:7" ht="105" x14ac:dyDescent="0.25">
      <c r="A11" s="2" t="str">
        <f t="shared" si="3"/>
        <v>Test1_Part2_Q10.mp3</v>
      </c>
      <c r="B11" s="2" t="s">
        <v>20</v>
      </c>
      <c r="C11" s="1" t="str">
        <f t="shared" si="0"/>
        <v xml:space="preserve">(A) Every year. 
</v>
      </c>
      <c r="D11" s="1" t="str">
        <f t="shared" si="1"/>
        <v xml:space="preserve">(B) It hasn't been decided yet. 
</v>
      </c>
      <c r="E11" s="1" t="str">
        <f t="shared" si="2"/>
        <v>(C) Yes, I've been there.</v>
      </c>
      <c r="F11" s="1" t="s">
        <v>9</v>
      </c>
      <c r="G11" s="1">
        <v>1</v>
      </c>
    </row>
    <row r="12" spans="1:7" ht="105" x14ac:dyDescent="0.25">
      <c r="A12" s="2" t="str">
        <f t="shared" si="3"/>
        <v>Test1_Part2_Q11.mp3</v>
      </c>
      <c r="B12" s="2" t="s">
        <v>21</v>
      </c>
      <c r="C12" s="1" t="str">
        <f t="shared" si="0"/>
        <v xml:space="preserve">(A) We can do it this afternoon instead. 
</v>
      </c>
      <c r="D12" s="1" t="str">
        <f t="shared" si="1"/>
        <v xml:space="preserve">(B) The sign on the wall. 
</v>
      </c>
      <c r="E12" s="1" t="str">
        <f t="shared" si="2"/>
        <v>(C) Does he work in that building, too?</v>
      </c>
      <c r="F12" s="1" t="s">
        <v>15</v>
      </c>
      <c r="G12" s="1">
        <v>1</v>
      </c>
    </row>
    <row r="13" spans="1:7" ht="135" x14ac:dyDescent="0.25">
      <c r="A13" s="2" t="str">
        <f t="shared" si="3"/>
        <v>Test1_Part2_Q12.mp3</v>
      </c>
      <c r="B13" s="2" t="s">
        <v>22</v>
      </c>
      <c r="C13" s="1" t="str">
        <f t="shared" si="0"/>
        <v xml:space="preserve">(A) The potted plant on the ground. 
</v>
      </c>
      <c r="D13" s="1" t="str">
        <f t="shared" si="1"/>
        <v xml:space="preserve">(B) I'll answer the phone. 
</v>
      </c>
      <c r="E13" s="1" t="str">
        <f t="shared" si="2"/>
        <v>(C) Because Barb's party is today.</v>
      </c>
      <c r="F13" s="1" t="s">
        <v>11</v>
      </c>
      <c r="G13" s="1">
        <v>1</v>
      </c>
    </row>
    <row r="14" spans="1:7" ht="105" x14ac:dyDescent="0.25">
      <c r="A14" s="2" t="str">
        <f t="shared" si="3"/>
        <v>Test1_Part2_Q13.mp3</v>
      </c>
      <c r="B14" s="2" t="s">
        <v>23</v>
      </c>
      <c r="C14" s="1" t="str">
        <f t="shared" si="0"/>
        <v xml:space="preserve">(A) Sergio will help us. 
</v>
      </c>
      <c r="D14" s="1" t="str">
        <f t="shared" si="1"/>
        <v xml:space="preserve">(B) Across the hallway. 
</v>
      </c>
      <c r="E14" s="1" t="str">
        <f t="shared" si="2"/>
        <v>(C) Have a seat by the window.</v>
      </c>
      <c r="F14" s="1" t="s">
        <v>15</v>
      </c>
      <c r="G14" s="1">
        <v>1</v>
      </c>
    </row>
    <row r="15" spans="1:7" ht="120" x14ac:dyDescent="0.25">
      <c r="A15" s="2" t="str">
        <f t="shared" si="3"/>
        <v>Test1_Part2_Q14.mp3</v>
      </c>
      <c r="B15" s="2" t="s">
        <v>24</v>
      </c>
      <c r="C15" s="1" t="str">
        <f t="shared" si="0"/>
        <v xml:space="preserve">(A) A new training manual. 
</v>
      </c>
      <c r="D15" s="1" t="str">
        <f t="shared" si="1"/>
        <v xml:space="preserve">(B) Sure, we can leave some for you. 
</v>
      </c>
      <c r="E15" s="1" t="str">
        <f t="shared" si="2"/>
        <v>(C) I didn't know it was required.</v>
      </c>
      <c r="F15" s="1" t="s">
        <v>11</v>
      </c>
      <c r="G15" s="1">
        <v>1</v>
      </c>
    </row>
    <row r="16" spans="1:7" ht="105" x14ac:dyDescent="0.25">
      <c r="A16" s="2" t="str">
        <f t="shared" si="3"/>
        <v>Test1_Part2_Q15.mp3</v>
      </c>
      <c r="B16" s="2" t="s">
        <v>25</v>
      </c>
      <c r="C16" s="1" t="str">
        <f t="shared" si="0"/>
        <v xml:space="preserve">(A) That's a really good idea. 
</v>
      </c>
      <c r="D16" s="1" t="str">
        <f t="shared" si="1"/>
        <v xml:space="preserve">(B) The film starts at nine. 
</v>
      </c>
      <c r="E16" s="1" t="str">
        <f t="shared" si="2"/>
        <v>(C) Fifteen should be enough.</v>
      </c>
      <c r="F16" s="1" t="s">
        <v>15</v>
      </c>
      <c r="G16" s="1">
        <v>1</v>
      </c>
    </row>
    <row r="17" spans="1:7" ht="120" x14ac:dyDescent="0.25">
      <c r="A17" s="2" t="str">
        <f t="shared" si="3"/>
        <v>Test1_Part2_Q16.mp3</v>
      </c>
      <c r="B17" s="2" t="s">
        <v>26</v>
      </c>
      <c r="C17" s="1" t="str">
        <f t="shared" si="0"/>
        <v xml:space="preserve">(A) I have a few more minutes. 
</v>
      </c>
      <c r="D17" s="1" t="str">
        <f t="shared" si="1"/>
        <v xml:space="preserve">(B) An electronics store nearby. 
</v>
      </c>
      <c r="E17" s="1" t="str">
        <f t="shared" si="2"/>
        <v>(C) Are you thinking of buying one?</v>
      </c>
      <c r="F17" s="1" t="s">
        <v>11</v>
      </c>
      <c r="G17" s="1">
        <v>1</v>
      </c>
    </row>
    <row r="18" spans="1:7" ht="150" x14ac:dyDescent="0.25">
      <c r="A18" s="2" t="str">
        <f t="shared" si="3"/>
        <v>Test1_Part2_Q17.mp3</v>
      </c>
      <c r="B18" s="2" t="s">
        <v>27</v>
      </c>
      <c r="C18" s="1" t="str">
        <f t="shared" si="0"/>
        <v xml:space="preserve">(A) A round-trip ticket for two thousand 
dollars. 
</v>
      </c>
      <c r="D18" s="1" t="str">
        <f t="shared" si="1"/>
        <v xml:space="preserve">(B) I'm planning to paint my house. 
</v>
      </c>
      <c r="E18" s="1" t="str">
        <f t="shared" si="2"/>
        <v>(C) I would follow up with Sahar.</v>
      </c>
      <c r="F18" s="1" t="s">
        <v>9</v>
      </c>
      <c r="G18" s="1">
        <v>1</v>
      </c>
    </row>
    <row r="19" spans="1:7" ht="120" x14ac:dyDescent="0.25">
      <c r="A19" s="2" t="str">
        <f t="shared" si="3"/>
        <v>Test1_Part2_Q18.mp3</v>
      </c>
      <c r="B19" s="2" t="s">
        <v>28</v>
      </c>
      <c r="C19" s="1" t="str">
        <f t="shared" si="0"/>
        <v xml:space="preserve">(A) A reliable delivery service. 
</v>
      </c>
      <c r="D19" s="1" t="str">
        <f t="shared" si="1"/>
        <v xml:space="preserve">(B) That's an impressive offer. 
</v>
      </c>
      <c r="E19" s="1" t="str">
        <f t="shared" si="2"/>
        <v>(C) Hasn't the payment arrived yet?</v>
      </c>
      <c r="F19" s="1" t="s">
        <v>11</v>
      </c>
      <c r="G19" s="1">
        <v>1</v>
      </c>
    </row>
    <row r="20" spans="1:7" ht="75" x14ac:dyDescent="0.25">
      <c r="A20" s="2" t="str">
        <f t="shared" si="3"/>
        <v>Test1_Part2_Q19.mp3</v>
      </c>
      <c r="B20" s="2" t="s">
        <v>29</v>
      </c>
      <c r="C20" s="1" t="str">
        <f t="shared" si="0"/>
        <v xml:space="preserve">(A) He's a reporter there. 
</v>
      </c>
      <c r="D20" s="1" t="str">
        <f t="shared" si="1"/>
        <v xml:space="preserve">(B) I'll be done before lunch. 
</v>
      </c>
      <c r="E20" s="1" t="str">
        <f t="shared" si="2"/>
        <v>(C) Please make ten copies.</v>
      </c>
      <c r="F20" s="1" t="s">
        <v>9</v>
      </c>
      <c r="G20" s="1">
        <v>1</v>
      </c>
    </row>
    <row r="21" spans="1:7" ht="120" x14ac:dyDescent="0.25">
      <c r="A21" s="2" t="str">
        <f t="shared" si="3"/>
        <v>Test1_Part2_Q20.mp3</v>
      </c>
      <c r="B21" s="2" t="s">
        <v>30</v>
      </c>
      <c r="C21" s="1" t="str">
        <f t="shared" si="0"/>
        <v xml:space="preserve">(A) Just put it in my bag, thanks. 
</v>
      </c>
      <c r="D21" s="1" t="str">
        <f t="shared" si="1"/>
        <v xml:space="preserve">(B) About twenty-five euros. 
</v>
      </c>
      <c r="E21" s="1" t="str">
        <f t="shared" si="2"/>
        <v>(C) That's a great looking sweater.</v>
      </c>
      <c r="F21" s="1" t="s">
        <v>15</v>
      </c>
      <c r="G21" s="1">
        <v>1</v>
      </c>
    </row>
    <row r="22" spans="1:7" ht="75" x14ac:dyDescent="0.25">
      <c r="A22" s="2" t="str">
        <f t="shared" si="3"/>
        <v>Test1_Part2_Q21.mp3</v>
      </c>
      <c r="B22" s="2" t="s">
        <v>31</v>
      </c>
      <c r="C22" s="1" t="str">
        <f t="shared" si="0"/>
        <v xml:space="preserve">(A) Where did you hear that? 
</v>
      </c>
      <c r="D22" s="1" t="str">
        <f t="shared" si="1"/>
        <v xml:space="preserve">(B) They arrived already. 
</v>
      </c>
      <c r="E22" s="1" t="str">
        <f t="shared" si="2"/>
        <v>(C) Yes, I'd like to.</v>
      </c>
      <c r="F22" s="1" t="s">
        <v>15</v>
      </c>
      <c r="G22" s="1">
        <v>1</v>
      </c>
    </row>
    <row r="23" spans="1:7" ht="120" x14ac:dyDescent="0.25">
      <c r="A23" s="2" t="str">
        <f t="shared" si="3"/>
        <v>Test1_Part2_Q22.mp3</v>
      </c>
      <c r="B23" s="2" t="s">
        <v>32</v>
      </c>
      <c r="C23" s="1" t="str">
        <f t="shared" si="0"/>
        <v xml:space="preserve">(A) The nearest train station. 
</v>
      </c>
      <c r="D23" s="1" t="str">
        <f t="shared" si="1"/>
        <v xml:space="preserve">(B) Yes, it departs at eight P.M. 
</v>
      </c>
      <c r="E23" s="1" t="str">
        <f t="shared" si="2"/>
        <v>(C) Usually at a hotel downtown.</v>
      </c>
      <c r="F23" s="1" t="s">
        <v>9</v>
      </c>
      <c r="G23" s="1">
        <v>1</v>
      </c>
    </row>
    <row r="24" spans="1:7" ht="120" x14ac:dyDescent="0.25">
      <c r="A24" s="2" t="str">
        <f t="shared" si="3"/>
        <v>Test1_Part2_Q23.mp3</v>
      </c>
      <c r="B24" s="2" t="s">
        <v>33</v>
      </c>
      <c r="C24" s="1" t="str">
        <f t="shared" si="0"/>
        <v xml:space="preserve">(A) Yes, the post office is still open. 
</v>
      </c>
      <c r="D24" s="1" t="str">
        <f t="shared" si="1"/>
        <v xml:space="preserve">(B) Sorry-1'11 try sending it again. 
</v>
      </c>
      <c r="E24" s="1" t="str">
        <f t="shared" si="2"/>
        <v>(C) We can't see that far either.</v>
      </c>
      <c r="F24" s="1" t="s">
        <v>9</v>
      </c>
      <c r="G24" s="1">
        <v>1</v>
      </c>
    </row>
    <row r="25" spans="1:7" ht="135" x14ac:dyDescent="0.25">
      <c r="A25" s="2" t="str">
        <f t="shared" si="3"/>
        <v>Test1_Part2_Q24.mp3</v>
      </c>
      <c r="B25" s="2" t="s">
        <v>34</v>
      </c>
      <c r="C25" s="1" t="str">
        <f t="shared" si="0"/>
        <v xml:space="preserve">(A) Sure, that'll be fine. 
</v>
      </c>
      <c r="D25" s="1" t="str">
        <f t="shared" si="1"/>
        <v xml:space="preserve">(B) Check-in is at three o'clock. 
</v>
      </c>
      <c r="E25" s="1" t="str">
        <f t="shared" si="2"/>
        <v>(C) A view of the ocean, if possible.</v>
      </c>
      <c r="F25" s="1" t="s">
        <v>15</v>
      </c>
      <c r="G25" s="1">
        <v>1</v>
      </c>
    </row>
    <row r="26" spans="1:7" ht="75" x14ac:dyDescent="0.25">
      <c r="A26" s="1" t="s">
        <v>35</v>
      </c>
      <c r="B26" s="2" t="s">
        <v>36</v>
      </c>
      <c r="C26" s="1" t="str">
        <f t="shared" si="0"/>
        <v xml:space="preserve">(A) In your mailbox. 
</v>
      </c>
      <c r="D26" s="1" t="str">
        <f t="shared" si="1"/>
        <v xml:space="preserve">(B) To South America. 
</v>
      </c>
      <c r="E26" s="1" t="str">
        <f t="shared" si="2"/>
        <v>(C) No, I live nearby.</v>
      </c>
      <c r="F26" s="1" t="s">
        <v>15</v>
      </c>
      <c r="G26" s="1">
        <v>1</v>
      </c>
    </row>
    <row r="27" spans="1:7" ht="90" x14ac:dyDescent="0.25">
      <c r="A27" s="1" t="str">
        <f>"Test2_Part2_Q" &amp; ROW(A2) &amp; ".mp3"</f>
        <v>Test2_Part2_Q2.mp3</v>
      </c>
      <c r="B27" s="2" t="s">
        <v>37</v>
      </c>
      <c r="C27" s="1" t="str">
        <f t="shared" si="0"/>
        <v xml:space="preserve">(A) The maintenance department. 
</v>
      </c>
      <c r="D27" s="1" t="str">
        <f t="shared" si="1"/>
        <v xml:space="preserve">(B) Try not to leave it open. 
</v>
      </c>
      <c r="E27" s="1" t="str">
        <f t="shared" si="2"/>
        <v>(C) Around nine o'clock.</v>
      </c>
      <c r="F27" s="1" t="s">
        <v>15</v>
      </c>
      <c r="G27" s="1">
        <v>1</v>
      </c>
    </row>
    <row r="28" spans="1:7" ht="75" x14ac:dyDescent="0.25">
      <c r="A28" s="1" t="str">
        <f t="shared" ref="A28:A49" si="4">"Test2_Part2_Q" &amp; ROW(A3) &amp; ".mp3"</f>
        <v>Test2_Part2_Q3.mp3</v>
      </c>
      <c r="B28" s="2" t="s">
        <v>38</v>
      </c>
      <c r="C28" s="1" t="str">
        <f t="shared" si="0"/>
        <v xml:space="preserve">(A) I promoted him. 
</v>
      </c>
      <c r="D28" s="1" t="str">
        <f t="shared" si="1"/>
        <v xml:space="preserve">(B) Thanks, it's a new model. 
</v>
      </c>
      <c r="E28" s="1" t="str">
        <f t="shared" si="2"/>
        <v>(C) Yes, last week.</v>
      </c>
      <c r="F28" s="1" t="s">
        <v>11</v>
      </c>
      <c r="G28" s="1">
        <v>1</v>
      </c>
    </row>
    <row r="29" spans="1:7" ht="75" x14ac:dyDescent="0.25">
      <c r="A29" s="1" t="str">
        <f t="shared" si="4"/>
        <v>Test2_Part2_Q4.mp3</v>
      </c>
      <c r="B29" s="2" t="s">
        <v>39</v>
      </c>
      <c r="C29" s="1" t="str">
        <f t="shared" si="0"/>
        <v xml:space="preserve">(A) Please send it by Friday. 
</v>
      </c>
      <c r="D29" s="1" t="str">
        <f t="shared" si="1"/>
        <v xml:space="preserve">(B) I do have one. 
</v>
      </c>
      <c r="E29" s="1" t="str">
        <f t="shared" si="2"/>
        <v>(C) The new apartment complex.</v>
      </c>
      <c r="F29" s="1" t="s">
        <v>15</v>
      </c>
      <c r="G29" s="1">
        <v>1</v>
      </c>
    </row>
    <row r="30" spans="1:7" ht="75" x14ac:dyDescent="0.25">
      <c r="A30" s="1" t="str">
        <f t="shared" si="4"/>
        <v>Test2_Part2_Q5.mp3</v>
      </c>
      <c r="B30" s="2" t="s">
        <v>40</v>
      </c>
      <c r="C30" s="1" t="str">
        <f t="shared" si="0"/>
        <v xml:space="preserve">(A) OK, I'll print it out. 
</v>
      </c>
      <c r="D30" s="1" t="str">
        <f t="shared" si="1"/>
        <v xml:space="preserve">(B) Yesterday morning. 
</v>
      </c>
      <c r="E30" s="1" t="str">
        <f t="shared" si="2"/>
        <v>(C) Yes, we do.</v>
      </c>
      <c r="F30" s="1" t="s">
        <v>15</v>
      </c>
      <c r="G30" s="1">
        <v>1</v>
      </c>
    </row>
    <row r="31" spans="1:7" ht="135" x14ac:dyDescent="0.25">
      <c r="A31" s="1" t="str">
        <f t="shared" si="4"/>
        <v>Test2_Part2_Q6.mp3</v>
      </c>
      <c r="B31" s="2" t="s">
        <v>41</v>
      </c>
      <c r="C31" s="1" t="str">
        <f t="shared" si="0"/>
        <v xml:space="preserve">(A) The presentation schedule. 
</v>
      </c>
      <c r="D31" s="1" t="str">
        <f t="shared" si="1"/>
        <v xml:space="preserve">(B) The brown panels look nice. 
</v>
      </c>
      <c r="E31" s="1" t="str">
        <f t="shared" si="2"/>
        <v>(C) No, I'm leaving the conference tonight.</v>
      </c>
      <c r="F31" s="1" t="s">
        <v>11</v>
      </c>
      <c r="G31" s="1">
        <v>1</v>
      </c>
    </row>
    <row r="32" spans="1:7" ht="90" x14ac:dyDescent="0.25">
      <c r="A32" s="1" t="str">
        <f t="shared" si="4"/>
        <v>Test2_Part2_Q7.mp3</v>
      </c>
      <c r="B32" s="2" t="s">
        <v>42</v>
      </c>
      <c r="C32" s="1" t="str">
        <f t="shared" si="0"/>
        <v xml:space="preserve">(A) About an hour. 
</v>
      </c>
      <c r="D32" s="1" t="str">
        <f t="shared" si="1"/>
        <v xml:space="preserve">(B) Sometime last week. 
</v>
      </c>
      <c r="E32" s="1" t="str">
        <f t="shared" si="2"/>
        <v>(C) To business class.</v>
      </c>
      <c r="F32" s="1" t="s">
        <v>9</v>
      </c>
      <c r="G32" s="1">
        <v>1</v>
      </c>
    </row>
    <row r="33" spans="1:7" ht="90" x14ac:dyDescent="0.25">
      <c r="A33" s="1" t="str">
        <f t="shared" si="4"/>
        <v>Test2_Part2_Q8.mp3</v>
      </c>
      <c r="B33" s="2" t="s">
        <v>43</v>
      </c>
      <c r="C33" s="1" t="str">
        <f t="shared" si="0"/>
        <v xml:space="preserve">(A) It's open to the public. 
</v>
      </c>
      <c r="D33" s="1" t="str">
        <f t="shared" si="1"/>
        <v xml:space="preserve">(B) I don't like the new policies. 
</v>
      </c>
      <c r="E33" s="1" t="str">
        <f t="shared" si="2"/>
        <v>(C) Neither, actually.</v>
      </c>
      <c r="F33" s="1" t="s">
        <v>11</v>
      </c>
      <c r="G33" s="1">
        <v>1</v>
      </c>
    </row>
    <row r="34" spans="1:7" ht="120" x14ac:dyDescent="0.25">
      <c r="A34" s="1" t="str">
        <f t="shared" si="4"/>
        <v>Test2_Part2_Q9.mp3</v>
      </c>
      <c r="B34" s="2" t="s">
        <v>44</v>
      </c>
      <c r="C34" s="1" t="str">
        <f t="shared" si="0"/>
        <v xml:space="preserve">(A) Yes, I'd be happy to come in. 
</v>
      </c>
      <c r="D34" s="1" t="str">
        <f t="shared" si="1"/>
        <v xml:space="preserve">(B) A bit earlier next time. 
</v>
      </c>
      <c r="E34" s="1" t="str">
        <f t="shared" si="2"/>
        <v>(C) Sure, let's go over the weekend.</v>
      </c>
      <c r="F34" s="1" t="s">
        <v>15</v>
      </c>
      <c r="G34" s="1">
        <v>1</v>
      </c>
    </row>
    <row r="35" spans="1:7" ht="75" x14ac:dyDescent="0.25">
      <c r="A35" s="1" t="str">
        <f t="shared" si="4"/>
        <v>Test2_Part2_Q10.mp3</v>
      </c>
      <c r="B35" s="2" t="s">
        <v>45</v>
      </c>
      <c r="C35" s="1" t="str">
        <f t="shared" si="0"/>
        <v xml:space="preserve">(A) Quite a long time. 
</v>
      </c>
      <c r="D35" s="1" t="str">
        <f t="shared" si="1"/>
        <v xml:space="preserve">(B) Here's a copy of the recipe. 
</v>
      </c>
      <c r="E35" s="1" t="str">
        <f t="shared" si="2"/>
        <v>(C) For Saturday night.</v>
      </c>
      <c r="F35" s="1" t="s">
        <v>9</v>
      </c>
      <c r="G35" s="1">
        <v>1</v>
      </c>
    </row>
    <row r="36" spans="1:7" ht="105" x14ac:dyDescent="0.25">
      <c r="A36" s="1" t="str">
        <f t="shared" si="4"/>
        <v>Test2_Part2_Q11.mp3</v>
      </c>
      <c r="B36" s="2" t="s">
        <v>46</v>
      </c>
      <c r="C36" s="1" t="str">
        <f t="shared" si="0"/>
        <v xml:space="preserve">(A) The delivery's been delayed. 
</v>
      </c>
      <c r="D36" s="1" t="str">
        <f t="shared" si="1"/>
        <v xml:space="preserve">(B) Ms. Martinez does. 
</v>
      </c>
      <c r="E36" s="1" t="str">
        <f t="shared" si="2"/>
        <v>(C) A more modern design.</v>
      </c>
      <c r="F36" s="1" t="s">
        <v>15</v>
      </c>
      <c r="G36" s="1">
        <v>1</v>
      </c>
    </row>
    <row r="37" spans="1:7" ht="90" x14ac:dyDescent="0.25">
      <c r="A37" s="1" t="str">
        <f t="shared" si="4"/>
        <v>Test2_Part2_Q12.mp3</v>
      </c>
      <c r="B37" s="2" t="s">
        <v>47</v>
      </c>
      <c r="C37" s="1" t="str">
        <f t="shared" si="0"/>
        <v xml:space="preserve">(A) The paper comes in several colors. 
</v>
      </c>
      <c r="D37" s="1" t="str">
        <f t="shared" si="1"/>
        <v xml:space="preserve">(B) I found it very useful. 
</v>
      </c>
      <c r="E37" s="1" t="str">
        <f t="shared" si="2"/>
        <v>(C) How many do you need?</v>
      </c>
      <c r="F37" s="1" t="s">
        <v>11</v>
      </c>
      <c r="G37" s="1">
        <v>1</v>
      </c>
    </row>
    <row r="38" spans="1:7" ht="90" x14ac:dyDescent="0.25">
      <c r="A38" s="1" t="str">
        <f t="shared" si="4"/>
        <v>Test2_Part2_Q13.mp3</v>
      </c>
      <c r="B38" s="2" t="s">
        <v>48</v>
      </c>
      <c r="C38" s="1" t="str">
        <f t="shared" si="0"/>
        <v xml:space="preserve">(A) I don't have any more. 
</v>
      </c>
      <c r="D38" s="1" t="str">
        <f t="shared" si="1"/>
        <v xml:space="preserve">(B) You'd better ask Ms. Wang. 
</v>
      </c>
      <c r="E38" s="1" t="str">
        <f t="shared" si="2"/>
        <v>(C) Yes, you can log in now.</v>
      </c>
      <c r="F38" s="1" t="s">
        <v>9</v>
      </c>
      <c r="G38" s="1">
        <v>1</v>
      </c>
    </row>
    <row r="39" spans="1:7" ht="90" x14ac:dyDescent="0.25">
      <c r="A39" s="1" t="str">
        <f t="shared" si="4"/>
        <v>Test2_Part2_Q14.mp3</v>
      </c>
      <c r="B39" s="2" t="s">
        <v>49</v>
      </c>
      <c r="C39" s="1" t="str">
        <f t="shared" si="0"/>
        <v xml:space="preserve">(A) It's a wonderful city. 
</v>
      </c>
      <c r="D39" s="1" t="str">
        <f t="shared" si="1"/>
        <v xml:space="preserve">(B) I usually pack light. 
</v>
      </c>
      <c r="E39" s="1" t="str">
        <f t="shared" si="2"/>
        <v>(C) No, they're all fully booked.</v>
      </c>
      <c r="F39" s="1" t="s">
        <v>11</v>
      </c>
      <c r="G39" s="1">
        <v>1</v>
      </c>
    </row>
    <row r="40" spans="1:7" ht="90" x14ac:dyDescent="0.25">
      <c r="A40" s="1" t="str">
        <f t="shared" si="4"/>
        <v>Test2_Part2_Q15.mp3</v>
      </c>
      <c r="B40" s="2" t="s">
        <v>50</v>
      </c>
      <c r="C40" s="1" t="str">
        <f t="shared" si="0"/>
        <v xml:space="preserve">(A) I'm sure security can open it. 
</v>
      </c>
      <c r="D40" s="1" t="str">
        <f t="shared" si="1"/>
        <v xml:space="preserve">(B) Six o'clock every day. 
</v>
      </c>
      <c r="E40" s="1" t="str">
        <f t="shared" si="2"/>
        <v>(C) It's right around the corner.</v>
      </c>
      <c r="F40" s="1" t="s">
        <v>15</v>
      </c>
      <c r="G40" s="1">
        <v>1</v>
      </c>
    </row>
    <row r="41" spans="1:7" ht="75" x14ac:dyDescent="0.25">
      <c r="A41" s="1" t="str">
        <f t="shared" si="4"/>
        <v>Test2_Part2_Q16.mp3</v>
      </c>
      <c r="B41" s="2" t="s">
        <v>51</v>
      </c>
      <c r="C41" s="1" t="str">
        <f t="shared" si="0"/>
        <v xml:space="preserve">(A) Would you like some more? 
</v>
      </c>
      <c r="D41" s="1" t="str">
        <f t="shared" si="1"/>
        <v xml:space="preserve">(B) You go ahead. 
</v>
      </c>
      <c r="E41" s="1" t="str">
        <f t="shared" si="2"/>
        <v>(C) Mr. Tong's office.</v>
      </c>
      <c r="F41" s="1" t="s">
        <v>9</v>
      </c>
      <c r="G41" s="1">
        <v>1</v>
      </c>
    </row>
    <row r="42" spans="1:7" ht="90" x14ac:dyDescent="0.25">
      <c r="A42" s="1" t="str">
        <f t="shared" si="4"/>
        <v>Test2_Part2_Q17.mp3</v>
      </c>
      <c r="B42" s="2" t="s">
        <v>52</v>
      </c>
      <c r="C42" s="1" t="str">
        <f t="shared" si="0"/>
        <v xml:space="preserve">(A) The trip to London. 
</v>
      </c>
      <c r="D42" s="1" t="str">
        <f t="shared" si="1"/>
        <v xml:space="preserve">(B) It wasn't that expensive. 
</v>
      </c>
      <c r="E42" s="1" t="str">
        <f t="shared" si="2"/>
        <v>(C) I'll send it as soon as possible.</v>
      </c>
      <c r="F42" s="1" t="s">
        <v>11</v>
      </c>
      <c r="G42" s="1">
        <v>1</v>
      </c>
    </row>
    <row r="43" spans="1:7" ht="75" x14ac:dyDescent="0.25">
      <c r="A43" s="1" t="str">
        <f t="shared" si="4"/>
        <v>Test2_Part2_Q18.mp3</v>
      </c>
      <c r="B43" s="2" t="s">
        <v>53</v>
      </c>
      <c r="C43" s="1" t="str">
        <f t="shared" si="0"/>
        <v xml:space="preserve">(A) I can lead you there. 
</v>
      </c>
      <c r="D43" s="1" t="str">
        <f t="shared" si="1"/>
        <v xml:space="preserve">(B) By the third of October. 
</v>
      </c>
      <c r="E43" s="1" t="str">
        <f t="shared" si="2"/>
        <v>(C) We're still deciding.</v>
      </c>
      <c r="F43" s="1" t="s">
        <v>11</v>
      </c>
      <c r="G43" s="1">
        <v>1</v>
      </c>
    </row>
    <row r="44" spans="1:7" ht="75" x14ac:dyDescent="0.25">
      <c r="A44" s="1" t="str">
        <f t="shared" si="4"/>
        <v>Test2_Part2_Q19.mp3</v>
      </c>
      <c r="B44" s="2" t="s">
        <v>54</v>
      </c>
      <c r="C44" s="1" t="str">
        <f t="shared" si="0"/>
        <v xml:space="preserve">(A) It's been working fine. 
</v>
      </c>
      <c r="D44" s="1" t="str">
        <f t="shared" si="1"/>
        <v xml:space="preserve">(B) I missed it, too. 
</v>
      </c>
      <c r="E44" s="1" t="str">
        <f t="shared" si="2"/>
        <v>(C) I like that shop.</v>
      </c>
      <c r="F44" s="1" t="s">
        <v>9</v>
      </c>
      <c r="G44" s="1">
        <v>1</v>
      </c>
    </row>
    <row r="45" spans="1:7" ht="135" x14ac:dyDescent="0.25">
      <c r="A45" s="1" t="str">
        <f>"Test2_Part2_Q" &amp; ROW(A20) &amp; ".mp3"</f>
        <v>Test2_Part2_Q20.mp3</v>
      </c>
      <c r="B45" s="2" t="s">
        <v>55</v>
      </c>
      <c r="C45" s="1" t="str">
        <f t="shared" si="0"/>
        <v xml:space="preserve">(A) The store opened at 10 A.M. 
</v>
      </c>
      <c r="D45" s="1" t="str">
        <f t="shared" si="1"/>
        <v xml:space="preserve">(B) How would you like to pay? 
</v>
      </c>
      <c r="E45" s="1" t="str">
        <f t="shared" si="2"/>
        <v>(C) They're all occupied right now.</v>
      </c>
      <c r="F45" s="1" t="s">
        <v>11</v>
      </c>
      <c r="G45" s="1">
        <v>1</v>
      </c>
    </row>
    <row r="46" spans="1:7" ht="90" x14ac:dyDescent="0.25">
      <c r="A46" s="1" t="str">
        <f t="shared" si="4"/>
        <v>Test2_Part2_Q21.mp3</v>
      </c>
      <c r="B46" s="2" t="s">
        <v>56</v>
      </c>
      <c r="C46" s="1" t="str">
        <f t="shared" si="0"/>
        <v xml:space="preserve">(A) Four copies, please. 
</v>
      </c>
      <c r="D46" s="1" t="str">
        <f t="shared" si="1"/>
        <v xml:space="preserve">(B) I'm sure that he did. 
</v>
      </c>
      <c r="E46" s="1" t="str">
        <f t="shared" si="2"/>
        <v>(C) That's not w hat I was told.</v>
      </c>
      <c r="F46" s="1" t="s">
        <v>11</v>
      </c>
      <c r="G46" s="1">
        <v>1</v>
      </c>
    </row>
    <row r="47" spans="1:7" ht="105" x14ac:dyDescent="0.25">
      <c r="A47" s="1" t="str">
        <f t="shared" si="4"/>
        <v>Test2_Part2_Q22.mp3</v>
      </c>
      <c r="B47" s="2" t="s">
        <v>57</v>
      </c>
      <c r="C47" s="1" t="str">
        <f t="shared" si="0"/>
        <v xml:space="preserve">(A) They're forecasting rain. 
</v>
      </c>
      <c r="D47" s="1" t="str">
        <f t="shared" si="1"/>
        <v xml:space="preserve">(B) In the finance department. 
</v>
      </c>
      <c r="E47" s="1" t="str">
        <f t="shared" si="2"/>
        <v>(C) You didn't receive it?</v>
      </c>
      <c r="F47" s="1" t="s">
        <v>11</v>
      </c>
      <c r="G47" s="1">
        <v>1</v>
      </c>
    </row>
    <row r="48" spans="1:7" ht="120" x14ac:dyDescent="0.25">
      <c r="A48" s="1" t="str">
        <f t="shared" si="4"/>
        <v>Test2_Part2_Q23.mp3</v>
      </c>
      <c r="B48" s="2" t="s">
        <v>58</v>
      </c>
      <c r="C48" s="1" t="str">
        <f t="shared" si="0"/>
        <v xml:space="preserve">(A) I wish he could train my team. 
</v>
      </c>
      <c r="D48" s="1" t="str">
        <f t="shared" si="1"/>
        <v xml:space="preserve">(B) Thanks, that's good to know. 
</v>
      </c>
      <c r="E48" s="1" t="str">
        <f t="shared" si="2"/>
        <v>(C) About three times a week.</v>
      </c>
      <c r="F48" s="1" t="s">
        <v>15</v>
      </c>
      <c r="G48" s="1">
        <v>1</v>
      </c>
    </row>
    <row r="49" spans="1:7" ht="75" x14ac:dyDescent="0.25">
      <c r="A49" s="1" t="str">
        <f t="shared" si="4"/>
        <v>Test2_Part2_Q24.mp3</v>
      </c>
      <c r="B49" s="2" t="s">
        <v>59</v>
      </c>
      <c r="C49" s="1" t="str">
        <f t="shared" si="0"/>
        <v xml:space="preserve">(A) That's a high rating. 
</v>
      </c>
      <c r="D49" s="1" t="str">
        <f t="shared" si="1"/>
        <v xml:space="preserve">(B) Not quite, but almost. 
</v>
      </c>
      <c r="E49" s="1" t="str">
        <f t="shared" si="2"/>
        <v>(C) Yes, I have.</v>
      </c>
      <c r="F49" s="1" t="s">
        <v>9</v>
      </c>
      <c r="G49" s="1">
        <v>1</v>
      </c>
    </row>
    <row r="50" spans="1:7" ht="90" x14ac:dyDescent="0.25">
      <c r="A50" s="1" t="str">
        <f>"Test2_Part2_Q" &amp; ROW(A25) &amp; ".mp3"</f>
        <v>Test2_Part2_Q25.mp3</v>
      </c>
      <c r="B50" s="2" t="s">
        <v>60</v>
      </c>
      <c r="C50" s="1" t="str">
        <f t="shared" si="0"/>
        <v xml:space="preserve">(A) The morning weather report. 
</v>
      </c>
      <c r="D50" s="1" t="str">
        <f t="shared" si="1"/>
        <v xml:space="preserve">(B) I could turn the heat up. 
</v>
      </c>
      <c r="E50" s="1" t="str">
        <f t="shared" si="2"/>
        <v>(C) I haven't decided yet.</v>
      </c>
      <c r="F50" s="1" t="s">
        <v>9</v>
      </c>
      <c r="G50" s="1">
        <v>1</v>
      </c>
    </row>
    <row r="51" spans="1:7" ht="90" x14ac:dyDescent="0.25">
      <c r="A51" s="1" t="s">
        <v>61</v>
      </c>
      <c r="B51" s="2" t="s">
        <v>62</v>
      </c>
      <c r="C51" s="1" t="str">
        <f t="shared" si="0"/>
        <v xml:space="preserve">(A) Mr. Cruz printed them already. 
</v>
      </c>
      <c r="D51" s="1" t="str">
        <f t="shared" si="1"/>
        <v xml:space="preserve">(B) In Toronto. 
</v>
      </c>
      <c r="E51" s="1" t="str">
        <f t="shared" si="2"/>
        <v>(C) Eight hundred dollars.</v>
      </c>
      <c r="F51" s="1" t="s">
        <v>9</v>
      </c>
      <c r="G51" s="1">
        <v>1</v>
      </c>
    </row>
    <row r="52" spans="1:7" ht="90" x14ac:dyDescent="0.25">
      <c r="A52" s="1" t="s">
        <v>65</v>
      </c>
      <c r="B52" s="2" t="s">
        <v>63</v>
      </c>
      <c r="C52" s="1" t="str">
        <f t="shared" si="0"/>
        <v xml:space="preserve">(A) Shipping is free. 
</v>
      </c>
      <c r="D52" s="1" t="str">
        <f t="shared" si="1"/>
        <v xml:space="preserve">(B) That's a really short time. 
</v>
      </c>
      <c r="E52" s="1" t="str">
        <f t="shared" si="2"/>
        <v>(C) The customer just canceled it.</v>
      </c>
      <c r="F52" s="1" t="s">
        <v>11</v>
      </c>
      <c r="G52" s="1">
        <v>1</v>
      </c>
    </row>
    <row r="53" spans="1:7" ht="105" x14ac:dyDescent="0.25">
      <c r="A53" s="1" t="s">
        <v>66</v>
      </c>
      <c r="B53" s="2" t="s">
        <v>64</v>
      </c>
      <c r="C53" s="1" t="str">
        <f t="shared" si="0"/>
        <v xml:space="preserve">(A) Yes, but I'll give you the key. 
</v>
      </c>
      <c r="D53" s="1" t="str">
        <f t="shared" si="1"/>
        <v xml:space="preserve">(B) There should be more in there. 
</v>
      </c>
      <c r="E53" s="1" t="str">
        <f t="shared" si="2"/>
        <v>(C) Please close it.</v>
      </c>
      <c r="F53" s="1" t="s">
        <v>15</v>
      </c>
      <c r="G53" s="1">
        <v>1</v>
      </c>
    </row>
    <row r="54" spans="1:7" ht="105" x14ac:dyDescent="0.25">
      <c r="A54" s="1" t="s">
        <v>67</v>
      </c>
      <c r="B54" s="2" t="s">
        <v>81</v>
      </c>
      <c r="C54" s="1" t="str">
        <f t="shared" si="0"/>
        <v xml:space="preserve">(A) Right after lunch is served. 
</v>
      </c>
      <c r="D54" s="1" t="str">
        <f t="shared" si="1"/>
        <v xml:space="preserve">(B) The room is quite small. 
</v>
      </c>
      <c r="E54" s="1" t="str">
        <f t="shared" si="2"/>
        <v>(C) It was really well written.</v>
      </c>
      <c r="F54" s="1" t="s">
        <v>9</v>
      </c>
      <c r="G54" s="1">
        <v>1</v>
      </c>
    </row>
    <row r="55" spans="1:7" ht="105" x14ac:dyDescent="0.25">
      <c r="A55" s="1" t="s">
        <v>68</v>
      </c>
      <c r="B55" s="2" t="s">
        <v>82</v>
      </c>
      <c r="C55" s="1" t="str">
        <f t="shared" si="0"/>
        <v xml:space="preserve">(A) Can you read it again? 
</v>
      </c>
      <c r="D55" s="1" t="str">
        <f t="shared" si="1"/>
        <v xml:space="preserve">(B) Around four P.M. 
</v>
      </c>
      <c r="E55" s="1" t="str">
        <f t="shared" si="2"/>
        <v>(C) She had a dentist appointment.</v>
      </c>
      <c r="F55" s="1" t="s">
        <v>11</v>
      </c>
      <c r="G55" s="1">
        <v>1</v>
      </c>
    </row>
    <row r="56" spans="1:7" ht="90" x14ac:dyDescent="0.25">
      <c r="A56" s="1" t="s">
        <v>69</v>
      </c>
      <c r="B56" s="2" t="s">
        <v>83</v>
      </c>
      <c r="C56" s="1" t="str">
        <f t="shared" si="0"/>
        <v xml:space="preserve">(A) Yes, that'd be great. 
</v>
      </c>
      <c r="D56" s="1" t="str">
        <f t="shared" si="1"/>
        <v xml:space="preserve">(B) She's probably right. 
</v>
      </c>
      <c r="E56" s="1" t="str">
        <f t="shared" si="2"/>
        <v>(C) An e-mail address.</v>
      </c>
      <c r="F56" s="1" t="s">
        <v>15</v>
      </c>
      <c r="G56" s="1">
        <v>1</v>
      </c>
    </row>
    <row r="57" spans="1:7" ht="90" x14ac:dyDescent="0.25">
      <c r="A57" s="1" t="s">
        <v>70</v>
      </c>
      <c r="B57" s="2" t="s">
        <v>84</v>
      </c>
      <c r="C57" s="1" t="str">
        <f t="shared" si="0"/>
        <v xml:space="preserve">(A) louise asked me first. 
</v>
      </c>
      <c r="D57" s="1" t="str">
        <f t="shared" si="1"/>
        <v xml:space="preserve">(B) At the public library. 
</v>
      </c>
      <c r="E57" s="1" t="str">
        <f t="shared" si="2"/>
        <v>(C) I checked it twice.</v>
      </c>
      <c r="F57" s="1" t="s">
        <v>15</v>
      </c>
      <c r="G57" s="1">
        <v>1</v>
      </c>
    </row>
    <row r="58" spans="1:7" ht="105" x14ac:dyDescent="0.25">
      <c r="A58" s="1" t="s">
        <v>71</v>
      </c>
      <c r="B58" s="2" t="s">
        <v>85</v>
      </c>
      <c r="C58" s="1" t="str">
        <f t="shared" si="0"/>
        <v xml:space="preserve">(A) Next Monday. 
</v>
      </c>
      <c r="D58" s="1" t="str">
        <f t="shared" si="1"/>
        <v xml:space="preserve">(B) Yes, it's on the calendar. 
</v>
      </c>
      <c r="E58" s="1" t="str">
        <f t="shared" si="2"/>
        <v>(C) Sasha will make the arrangements.</v>
      </c>
      <c r="F58" s="1" t="s">
        <v>11</v>
      </c>
      <c r="G58" s="1">
        <v>1</v>
      </c>
    </row>
    <row r="59" spans="1:7" ht="120" x14ac:dyDescent="0.25">
      <c r="A59" s="1" t="s">
        <v>72</v>
      </c>
      <c r="B59" s="2" t="s">
        <v>86</v>
      </c>
      <c r="C59" s="1" t="str">
        <f t="shared" si="0"/>
        <v xml:space="preserve">(A) About the same of both. 
</v>
      </c>
      <c r="D59" s="1" t="str">
        <f t="shared" si="1"/>
        <v xml:space="preserve">(B) I'll have a glass with breakfast. 
</v>
      </c>
      <c r="E59" s="1" t="str">
        <f t="shared" si="2"/>
        <v>(C) Next to the milk.</v>
      </c>
      <c r="F59" s="1" t="s">
        <v>15</v>
      </c>
      <c r="G59" s="1">
        <v>1</v>
      </c>
    </row>
    <row r="60" spans="1:7" ht="120" x14ac:dyDescent="0.25">
      <c r="A60" s="1" t="s">
        <v>73</v>
      </c>
      <c r="B60" s="2" t="s">
        <v>87</v>
      </c>
      <c r="C60" s="1" t="str">
        <f t="shared" si="0"/>
        <v xml:space="preserve">(A) I'm not in charge of the interns this year. 
</v>
      </c>
      <c r="D60" s="1" t="str">
        <f t="shared" si="1"/>
        <v xml:space="preserve">(B) She was the first to submit her 
application. 
</v>
      </c>
      <c r="E60" s="1" t="str">
        <f t="shared" si="2"/>
        <v>(C) Six o'clock each night.</v>
      </c>
      <c r="F60" s="1" t="s">
        <v>15</v>
      </c>
      <c r="G60" s="1">
        <v>1</v>
      </c>
    </row>
    <row r="61" spans="1:7" ht="135" x14ac:dyDescent="0.25">
      <c r="A61" s="1" t="s">
        <v>74</v>
      </c>
      <c r="B61" s="2" t="s">
        <v>88</v>
      </c>
      <c r="C61" s="1" t="str">
        <f t="shared" si="0"/>
        <v xml:space="preserve">(A) No, her appointment isn't until noon. 
</v>
      </c>
      <c r="D61" s="1" t="str">
        <f t="shared" si="1"/>
        <v xml:space="preserve">(B) Thanks, I'm feeling much better. 
</v>
      </c>
      <c r="E61" s="1" t="str">
        <f t="shared" si="2"/>
        <v>(C) I'll probably wait in the lobby.</v>
      </c>
      <c r="F61" s="1" t="s">
        <v>15</v>
      </c>
      <c r="G61" s="1">
        <v>1</v>
      </c>
    </row>
    <row r="62" spans="1:7" ht="90" x14ac:dyDescent="0.25">
      <c r="A62" s="1" t="s">
        <v>75</v>
      </c>
      <c r="B62" s="2" t="s">
        <v>89</v>
      </c>
      <c r="C62" s="1" t="str">
        <f t="shared" si="0"/>
        <v xml:space="preserve">(A) It's a very comfortable chair. 
</v>
      </c>
      <c r="D62" s="1" t="str">
        <f t="shared" si="1"/>
        <v xml:space="preserve">(B) Isn't it supposed to rain? 
</v>
      </c>
      <c r="E62" s="1" t="str">
        <f t="shared" si="2"/>
        <v>(C) The doors are opening.</v>
      </c>
      <c r="F62" s="1" t="s">
        <v>9</v>
      </c>
      <c r="G62" s="1">
        <v>1</v>
      </c>
    </row>
    <row r="63" spans="1:7" ht="120" x14ac:dyDescent="0.25">
      <c r="A63" s="1" t="s">
        <v>76</v>
      </c>
      <c r="B63" s="2" t="s">
        <v>90</v>
      </c>
      <c r="C63" s="1" t="str">
        <f t="shared" si="0"/>
        <v xml:space="preserve">(A) The bakery is around the corner. 
</v>
      </c>
      <c r="D63" s="1" t="str">
        <f t="shared" si="1"/>
        <v xml:space="preserve">(B) Yes, I saw him in there this morning. 
</v>
      </c>
      <c r="E63" s="1" t="str">
        <f t="shared" si="2"/>
        <v>(C) I know a good moving company.</v>
      </c>
      <c r="F63" s="1" t="s">
        <v>9</v>
      </c>
      <c r="G63" s="1">
        <v>1</v>
      </c>
    </row>
    <row r="64" spans="1:7" ht="120" x14ac:dyDescent="0.25">
      <c r="A64" s="1" t="s">
        <v>77</v>
      </c>
      <c r="B64" s="2" t="s">
        <v>91</v>
      </c>
      <c r="C64" s="1" t="str">
        <f t="shared" si="0"/>
        <v xml:space="preserve">(A) Yesterday afternoon. 
</v>
      </c>
      <c r="D64" s="1" t="str">
        <f t="shared" si="1"/>
        <v xml:space="preserve">(B) I didn't understand it either. 
</v>
      </c>
      <c r="E64" s="1" t="str">
        <f t="shared" si="2"/>
        <v>(C) At the post office downtown.</v>
      </c>
      <c r="F64" s="1" t="s">
        <v>9</v>
      </c>
      <c r="G64" s="1">
        <v>1</v>
      </c>
    </row>
    <row r="65" spans="1:7" ht="120" x14ac:dyDescent="0.25">
      <c r="A65" s="1" t="s">
        <v>78</v>
      </c>
      <c r="B65" s="2" t="s">
        <v>92</v>
      </c>
      <c r="C65" s="1" t="str">
        <f t="shared" si="0"/>
        <v xml:space="preserve">(A) They're on the third floor. 
</v>
      </c>
      <c r="D65" s="1" t="str">
        <f t="shared" si="1"/>
        <v xml:space="preserve">(B) Sure, I'll come back then. 
</v>
      </c>
      <c r="E65" s="1" t="str">
        <f t="shared" si="2"/>
        <v>(C) No, just a chicken sandwich.</v>
      </c>
      <c r="F65" s="1" t="s">
        <v>9</v>
      </c>
      <c r="G65" s="1">
        <v>1</v>
      </c>
    </row>
    <row r="66" spans="1:7" ht="90" x14ac:dyDescent="0.25">
      <c r="A66" s="1" t="s">
        <v>79</v>
      </c>
      <c r="B66" s="2" t="s">
        <v>93</v>
      </c>
      <c r="C66" s="1" t="str">
        <f t="shared" si="0"/>
        <v xml:space="preserve">(A) Did you ask the manager first? 
</v>
      </c>
      <c r="D66" s="1" t="str">
        <f t="shared" si="1"/>
        <v xml:space="preserve">(B) It's working fine now. 
</v>
      </c>
      <c r="E66" s="1" t="str">
        <f t="shared" si="2"/>
        <v>(C) Last week, I think.</v>
      </c>
      <c r="F66" s="1" t="s">
        <v>15</v>
      </c>
      <c r="G66" s="1">
        <v>1</v>
      </c>
    </row>
    <row r="67" spans="1:7" ht="105" x14ac:dyDescent="0.25">
      <c r="A67" s="1" t="s">
        <v>80</v>
      </c>
      <c r="B67" s="2" t="s">
        <v>94</v>
      </c>
      <c r="C67" s="1" t="str">
        <f t="shared" si="0"/>
        <v xml:space="preserve">(A) I prefer the supermarket on North Street. 
</v>
      </c>
      <c r="D67" s="1" t="str">
        <f t="shared" si="1"/>
        <v xml:space="preserve">(B) The market data was quite surprising. 
</v>
      </c>
      <c r="E67" s="1" t="str">
        <f t="shared" si="2"/>
        <v>(C) He's away on business.</v>
      </c>
      <c r="F67" s="1" t="s">
        <v>9</v>
      </c>
      <c r="G67" s="1">
        <v>1</v>
      </c>
    </row>
    <row r="68" spans="1:7" ht="120" x14ac:dyDescent="0.25">
      <c r="A68" s="1" t="s">
        <v>95</v>
      </c>
      <c r="B68" s="2" t="s">
        <v>96</v>
      </c>
      <c r="C68" s="1" t="str">
        <f t="shared" si="0"/>
        <v xml:space="preserve">(A) Jacob got the job. 
</v>
      </c>
      <c r="D68" s="1" t="str">
        <f t="shared" si="1"/>
        <v xml:space="preserve">(B) OK, I'll give them a quick tour. 
</v>
      </c>
      <c r="E68" s="1" t="str">
        <f t="shared" si="2"/>
        <v>(C) At this afternoon's staff meeting.</v>
      </c>
      <c r="F68" s="1" t="s">
        <v>15</v>
      </c>
      <c r="G68" s="1">
        <v>1</v>
      </c>
    </row>
    <row r="69" spans="1:7" ht="90" x14ac:dyDescent="0.25">
      <c r="A69" s="1" t="str">
        <f>"Test4_Part2_Q" &amp; ROW(A2) &amp; ".mp3"</f>
        <v>Test4_Part2_Q2.mp3</v>
      </c>
      <c r="B69" s="2" t="s">
        <v>97</v>
      </c>
      <c r="C69" s="1" t="str">
        <f t="shared" si="0"/>
        <v xml:space="preserve">(A) Tomorrow at five o'clock. 
</v>
      </c>
      <c r="D69" s="1" t="str">
        <f t="shared" si="1"/>
        <v xml:space="preserve">(B) For the advertising department. 
</v>
      </c>
      <c r="E69" s="1" t="str">
        <f t="shared" si="2"/>
        <v>(C) Mr. Tong's office.</v>
      </c>
      <c r="F69" s="1" t="s">
        <v>15</v>
      </c>
      <c r="G69" s="1">
        <v>1</v>
      </c>
    </row>
    <row r="70" spans="1:7" ht="120" x14ac:dyDescent="0.25">
      <c r="A70" s="1" t="str">
        <f t="shared" ref="A70:A91" si="5">"Test4_Part2_Q" &amp; ROW(A3) &amp; ".mp3"</f>
        <v>Test4_Part2_Q3.mp3</v>
      </c>
      <c r="B70" s="2" t="s">
        <v>98</v>
      </c>
      <c r="C70" s="1" t="str">
        <f t="shared" si="0"/>
        <v xml:space="preserve">(A) It's on the top shelf. 
</v>
      </c>
      <c r="D70" s="1" t="str">
        <f t="shared" si="1"/>
        <v xml:space="preserve">(B) A twenty percent discount. 
</v>
      </c>
      <c r="E70" s="1" t="str">
        <f t="shared" si="2"/>
        <v>(C) Yes, there's one in the historic district.</v>
      </c>
      <c r="F70" s="1" t="s">
        <v>11</v>
      </c>
      <c r="G70" s="1">
        <v>1</v>
      </c>
    </row>
    <row r="71" spans="1:7" ht="75" x14ac:dyDescent="0.25">
      <c r="A71" s="1" t="str">
        <f t="shared" si="5"/>
        <v>Test4_Part2_Q4.mp3</v>
      </c>
      <c r="B71" s="2" t="s">
        <v>99</v>
      </c>
      <c r="C71" s="1" t="str">
        <f t="shared" si="0"/>
        <v xml:space="preserve">(A) She was late for work. 
</v>
      </c>
      <c r="D71" s="1" t="str">
        <f t="shared" si="1"/>
        <v xml:space="preserve">(B) Please be careful. 
</v>
      </c>
      <c r="E71" s="1" t="str">
        <f t="shared" si="2"/>
        <v>(C) Sorry, I have other plans.</v>
      </c>
      <c r="F71" s="1" t="s">
        <v>11</v>
      </c>
      <c r="G71" s="1">
        <v>1</v>
      </c>
    </row>
    <row r="72" spans="1:7" ht="135" x14ac:dyDescent="0.25">
      <c r="A72" s="1" t="str">
        <f t="shared" si="5"/>
        <v>Test4_Part2_Q5.mp3</v>
      </c>
      <c r="B72" s="2" t="s">
        <v>100</v>
      </c>
      <c r="C72" s="1" t="str">
        <f t="shared" si="0"/>
        <v xml:space="preserve">(A) On letterhead stationery, please. 
</v>
      </c>
      <c r="D72" s="1" t="str">
        <f t="shared" si="1"/>
        <v xml:space="preserve">(B) No, she hasn't gotten to it yet. 
</v>
      </c>
      <c r="E72" s="1" t="str">
        <f t="shared" si="2"/>
        <v>(C) The annual fund-raising banquet.</v>
      </c>
      <c r="F72" s="1" t="s">
        <v>9</v>
      </c>
      <c r="G72" s="1">
        <v>1</v>
      </c>
    </row>
    <row r="73" spans="1:7" ht="120" x14ac:dyDescent="0.25">
      <c r="A73" s="1" t="str">
        <f t="shared" si="5"/>
        <v>Test4_Part2_Q6.mp3</v>
      </c>
      <c r="B73" s="2" t="s">
        <v>101</v>
      </c>
      <c r="C73" s="1" t="str">
        <f t="shared" si="0"/>
        <v xml:space="preserve">(A) They were all so good. 
</v>
      </c>
      <c r="D73" s="1" t="str">
        <f t="shared" si="1"/>
        <v xml:space="preserve">(B) Our seats are near the stage. 
</v>
      </c>
      <c r="E73" s="1" t="str">
        <f t="shared" si="2"/>
        <v>(C) It should be very entertaining.</v>
      </c>
      <c r="F73" s="1" t="s">
        <v>15</v>
      </c>
      <c r="G73" s="1">
        <v>1</v>
      </c>
    </row>
    <row r="74" spans="1:7" ht="105" x14ac:dyDescent="0.25">
      <c r="A74" s="1" t="str">
        <f t="shared" si="5"/>
        <v>Test4_Part2_Q7.mp3</v>
      </c>
      <c r="B74" s="2" t="s">
        <v>102</v>
      </c>
      <c r="C74" s="1" t="str">
        <f t="shared" si="0"/>
        <v xml:space="preserve">(A) Yes, I leave at 3:00 P.M. 
</v>
      </c>
      <c r="D74" s="1" t="str">
        <f t="shared" si="1"/>
        <v xml:space="preserve">(B) Because it's too expensive. 
</v>
      </c>
      <c r="E74" s="1" t="str">
        <f t="shared" si="2"/>
        <v>(C) No, they weren't.</v>
      </c>
      <c r="F74" s="1" t="s">
        <v>15</v>
      </c>
      <c r="G74" s="1">
        <v>1</v>
      </c>
    </row>
    <row r="75" spans="1:7" ht="120" x14ac:dyDescent="0.25">
      <c r="A75" s="1" t="str">
        <f t="shared" si="5"/>
        <v>Test4_Part2_Q8.mp3</v>
      </c>
      <c r="B75" s="2" t="s">
        <v>103</v>
      </c>
      <c r="C75" s="1" t="str">
        <f t="shared" si="0"/>
        <v xml:space="preserve">(A) A large number of tables and chairs. 
</v>
      </c>
      <c r="D75" s="1" t="str">
        <f t="shared" si="1"/>
        <v xml:space="preserve">(B) Not until next Tuesday afternoon. 
</v>
      </c>
      <c r="E75" s="1" t="str">
        <f t="shared" si="2"/>
        <v>(C) At the post office on Main Street.</v>
      </c>
      <c r="F75" s="1" t="s">
        <v>9</v>
      </c>
      <c r="G75" s="1">
        <v>1</v>
      </c>
    </row>
    <row r="76" spans="1:7" ht="75" x14ac:dyDescent="0.25">
      <c r="A76" s="1" t="str">
        <f t="shared" si="5"/>
        <v>Test4_Part2_Q9.mp3</v>
      </c>
      <c r="B76" s="2" t="s">
        <v>104</v>
      </c>
      <c r="C76" s="1" t="str">
        <f t="shared" si="0"/>
        <v xml:space="preserve">(A) Yes, of course. 
</v>
      </c>
      <c r="D76" s="1" t="str">
        <f t="shared" si="1"/>
        <v xml:space="preserve">(B) The accounts manager. 
</v>
      </c>
      <c r="E76" s="1" t="str">
        <f t="shared" si="2"/>
        <v>(C) No, I didn't.</v>
      </c>
      <c r="F76" s="1" t="s">
        <v>15</v>
      </c>
      <c r="G76" s="1">
        <v>1</v>
      </c>
    </row>
    <row r="77" spans="1:7" ht="90" x14ac:dyDescent="0.25">
      <c r="A77" s="1" t="str">
        <f t="shared" si="5"/>
        <v>Test4_Part2_Q10.mp3</v>
      </c>
      <c r="B77" s="2" t="s">
        <v>105</v>
      </c>
      <c r="C77" s="1" t="str">
        <f t="shared" si="0"/>
        <v xml:space="preserve">(A) It'll be ready next week. 
</v>
      </c>
      <c r="D77" s="1" t="str">
        <f t="shared" si="1"/>
        <v xml:space="preserve">(B) Replace the hard drive. 
</v>
      </c>
      <c r="E77" s="1" t="str">
        <f t="shared" si="2"/>
        <v>(C) Is it still under w arranty?</v>
      </c>
      <c r="F77" s="1" t="s">
        <v>11</v>
      </c>
      <c r="G77" s="1">
        <v>1</v>
      </c>
    </row>
    <row r="78" spans="1:7" ht="120" x14ac:dyDescent="0.25">
      <c r="A78" s="1" t="str">
        <f>"Test4_Part2_Q" &amp; ROW(A11) &amp; ".mp3"</f>
        <v>Test4_Part2_Q11.mp3</v>
      </c>
      <c r="B78" s="2" t="s">
        <v>106</v>
      </c>
      <c r="C78" s="1" t="str">
        <f t="shared" si="0"/>
        <v xml:space="preserve">(A) A well-organized event. 
</v>
      </c>
      <c r="D78" s="1" t="str">
        <f t="shared" si="1"/>
        <v xml:space="preserve">(B) We've decided what to bring. 
</v>
      </c>
      <c r="E78" s="1" t="str">
        <f t="shared" si="2"/>
        <v>(C) No, she's taking a year off.</v>
      </c>
      <c r="F78" s="1" t="s">
        <v>11</v>
      </c>
      <c r="G78" s="1">
        <v>1</v>
      </c>
    </row>
    <row r="79" spans="1:7" ht="90" x14ac:dyDescent="0.25">
      <c r="A79" s="1" t="str">
        <f t="shared" si="5"/>
        <v>Test4_Part2_Q12.mp3</v>
      </c>
      <c r="B79" s="2" t="s">
        <v>107</v>
      </c>
      <c r="C79" s="1" t="str">
        <f t="shared" si="0"/>
        <v xml:space="preserve">(A) A missing price tag. 
</v>
      </c>
      <c r="D79" s="1" t="str">
        <f t="shared" si="1"/>
        <v xml:space="preserve">(B) Sure, we'll buy those. 
</v>
      </c>
      <c r="E79" s="1" t="str">
        <f t="shared" si="2"/>
        <v>(C) That sale ended yesterday.</v>
      </c>
      <c r="F79" s="1" t="s">
        <v>11</v>
      </c>
      <c r="G79" s="1">
        <v>1</v>
      </c>
    </row>
    <row r="80" spans="1:7" ht="150" x14ac:dyDescent="0.25">
      <c r="A80" s="1" t="str">
        <f t="shared" si="5"/>
        <v>Test4_Part2_Q13.mp3</v>
      </c>
      <c r="B80" s="2" t="s">
        <v>108</v>
      </c>
      <c r="C80" s="1" t="str">
        <f t="shared" si="0"/>
        <v xml:space="preserve">(A) There's a public garage close by. 
</v>
      </c>
      <c r="D80" s="1" t="str">
        <f t="shared" si="1"/>
        <v xml:space="preserve">(B) Many trees and flowers are in bloom 
now. 
</v>
      </c>
      <c r="E80" s="1" t="str">
        <f t="shared" si="2"/>
        <v>(C) A two-bedroom apartment.</v>
      </c>
      <c r="F80" s="1" t="s">
        <v>15</v>
      </c>
      <c r="G80" s="1">
        <v>1</v>
      </c>
    </row>
    <row r="81" spans="1:7" ht="105" x14ac:dyDescent="0.25">
      <c r="A81" s="1" t="str">
        <f t="shared" si="5"/>
        <v>Test4_Part2_Q14.mp3</v>
      </c>
      <c r="B81" s="2" t="s">
        <v>109</v>
      </c>
      <c r="C81" s="1" t="str">
        <f t="shared" si="0"/>
        <v xml:space="preserve">(A) He's written several books. 
</v>
      </c>
      <c r="D81" s="1" t="str">
        <f t="shared" si="1"/>
        <v xml:space="preserve">(B) Our supervisor will know. 
</v>
      </c>
      <c r="E81" s="1" t="str">
        <f t="shared" si="2"/>
        <v>(C) Another batch next Tuesday .</v>
      </c>
      <c r="F81" s="1" t="s">
        <v>9</v>
      </c>
      <c r="G81" s="1">
        <v>1</v>
      </c>
    </row>
    <row r="82" spans="1:7" ht="90" x14ac:dyDescent="0.25">
      <c r="A82" s="1" t="str">
        <f t="shared" si="5"/>
        <v>Test4_Part2_Q15.mp3</v>
      </c>
      <c r="B82" s="2" t="s">
        <v>110</v>
      </c>
      <c r="C82" s="1" t="str">
        <f t="shared" si="0"/>
        <v xml:space="preserve">(A) No, twelve people at seven o'clock. 
</v>
      </c>
      <c r="D82" s="1" t="str">
        <f t="shared" si="1"/>
        <v xml:space="preserve">(B) How was the party? 
</v>
      </c>
      <c r="E82" s="1" t="str">
        <f t="shared" si="2"/>
        <v>(C) I'll do it right now.</v>
      </c>
      <c r="F82" s="1" t="s">
        <v>11</v>
      </c>
      <c r="G82" s="1">
        <v>1</v>
      </c>
    </row>
    <row r="83" spans="1:7" ht="120" x14ac:dyDescent="0.25">
      <c r="A83" s="1" t="str">
        <f t="shared" si="5"/>
        <v>Test4_Part2_Q16.mp3</v>
      </c>
      <c r="B83" s="2" t="s">
        <v>111</v>
      </c>
      <c r="C83" s="1" t="str">
        <f t="shared" si="0"/>
        <v xml:space="preserve">(A) Many employees are out of the office. 
</v>
      </c>
      <c r="D83" s="1" t="str">
        <f t="shared" si="1"/>
        <v xml:space="preserve">(B) It's in room five on the second floor. 
</v>
      </c>
      <c r="E83" s="1" t="str">
        <f t="shared" si="2"/>
        <v>(C) Ten o'clock every day.</v>
      </c>
      <c r="F83" s="1" t="s">
        <v>15</v>
      </c>
      <c r="G83" s="1">
        <v>1</v>
      </c>
    </row>
    <row r="84" spans="1:7" ht="120" x14ac:dyDescent="0.25">
      <c r="A84" s="1" t="str">
        <f t="shared" si="5"/>
        <v>Test4_Part2_Q17.mp3</v>
      </c>
      <c r="B84" s="2" t="s">
        <v>112</v>
      </c>
      <c r="C84" s="1" t="str">
        <f t="shared" si="0"/>
        <v xml:space="preserve">(A) From Thailand and Vietnam. 
</v>
      </c>
      <c r="D84" s="1" t="str">
        <f t="shared" si="1"/>
        <v xml:space="preserve">(B) A new travel agent. 
</v>
      </c>
      <c r="E84" s="1" t="str">
        <f t="shared" si="2"/>
        <v>(C) No, I booked a trip in July.</v>
      </c>
      <c r="F84" s="1" t="s">
        <v>11</v>
      </c>
      <c r="G84" s="1">
        <v>1</v>
      </c>
    </row>
    <row r="85" spans="1:7" ht="135" x14ac:dyDescent="0.25">
      <c r="A85" s="1" t="str">
        <f t="shared" si="5"/>
        <v>Test4_Part2_Q18.mp3</v>
      </c>
      <c r="B85" s="2" t="s">
        <v>113</v>
      </c>
      <c r="C85" s="1" t="str">
        <f t="shared" si="0"/>
        <v xml:space="preserve">(A) It'll last about four hours. 
</v>
      </c>
      <c r="D85" s="1" t="str">
        <f t="shared" si="1"/>
        <v xml:space="preserve">(B) Attendance was fairly low. 
</v>
      </c>
      <c r="E85" s="1" t="str">
        <f t="shared" si="2"/>
        <v>(C) They've been postponed until next 
month.</v>
      </c>
      <c r="F85" s="1" t="s">
        <v>11</v>
      </c>
      <c r="G85" s="1">
        <v>1</v>
      </c>
    </row>
    <row r="86" spans="1:7" ht="135" x14ac:dyDescent="0.25">
      <c r="A86" s="1" t="str">
        <f t="shared" si="5"/>
        <v>Test4_Part2_Q19.mp3</v>
      </c>
      <c r="B86" s="2" t="s">
        <v>114</v>
      </c>
      <c r="C86" s="1" t="str">
        <f t="shared" si="0"/>
        <v xml:space="preserve">(A) Thank you for the nice present. 
</v>
      </c>
      <c r="D86" s="1" t="str">
        <f t="shared" si="1"/>
        <v xml:space="preserve">(B) Sure, I'd be happy to. 
</v>
      </c>
      <c r="E86" s="1" t="str">
        <f t="shared" si="2"/>
        <v>(C) Yes, it was an interesting meeting.</v>
      </c>
      <c r="F86" s="1" t="s">
        <v>9</v>
      </c>
      <c r="G86" s="1">
        <v>1</v>
      </c>
    </row>
    <row r="87" spans="1:7" ht="120" x14ac:dyDescent="0.25">
      <c r="A87" s="1" t="str">
        <f>"Test4_Part2_Q" &amp; ROW(A20) &amp; ".mp3"</f>
        <v>Test4_Part2_Q20.mp3</v>
      </c>
      <c r="B87" s="2" t="s">
        <v>115</v>
      </c>
      <c r="C87" s="1" t="str">
        <f t="shared" si="0"/>
        <v xml:space="preserve">(A) A yearly statement. 
</v>
      </c>
      <c r="D87" s="1" t="str">
        <f t="shared" si="1"/>
        <v xml:space="preserve">(B) Not everyone needs a copy. 
</v>
      </c>
      <c r="E87" s="1" t="str">
        <f t="shared" si="2"/>
        <v>(C) They did well in the competition.</v>
      </c>
      <c r="F87" s="1" t="s">
        <v>9</v>
      </c>
      <c r="G87" s="1">
        <v>1</v>
      </c>
    </row>
    <row r="88" spans="1:7" ht="105" x14ac:dyDescent="0.25">
      <c r="A88" s="1" t="str">
        <f t="shared" si="5"/>
        <v>Test4_Part2_Q21.mp3</v>
      </c>
      <c r="B88" s="2" t="s">
        <v>116</v>
      </c>
      <c r="C88" s="1" t="str">
        <f t="shared" si="0"/>
        <v xml:space="preserve">(A) Great, I'll be there waiting. 
</v>
      </c>
      <c r="D88" s="1" t="str">
        <f t="shared" si="1"/>
        <v xml:space="preserve">(B) I think Soo-Hee has them. 
</v>
      </c>
      <c r="E88" s="1" t="str">
        <f t="shared" si="2"/>
        <v>(C) It's sold out.</v>
      </c>
      <c r="F88" s="1" t="s">
        <v>15</v>
      </c>
      <c r="G88" s="1">
        <v>1</v>
      </c>
    </row>
    <row r="89" spans="1:7" ht="90" x14ac:dyDescent="0.25">
      <c r="A89" s="1" t="str">
        <f t="shared" si="5"/>
        <v>Test4_Part2_Q22.mp3</v>
      </c>
      <c r="B89" s="2" t="s">
        <v>117</v>
      </c>
      <c r="C89" s="1" t="str">
        <f t="shared" si="0"/>
        <v xml:space="preserve">(A) Where's the license bureau? 
</v>
      </c>
      <c r="D89" s="1" t="str">
        <f t="shared" si="1"/>
        <v xml:space="preserve">(B) His brother works here. 
</v>
      </c>
      <c r="E89" s="1" t="str">
        <f t="shared" si="2"/>
        <v>(C) We really need two.</v>
      </c>
      <c r="F89" s="1" t="s">
        <v>11</v>
      </c>
      <c r="G89" s="1">
        <v>1</v>
      </c>
    </row>
    <row r="90" spans="1:7" ht="135" x14ac:dyDescent="0.25">
      <c r="A90" s="1" t="str">
        <f t="shared" si="5"/>
        <v>Test4_Part2_Q23.mp3</v>
      </c>
      <c r="B90" s="2" t="s">
        <v>118</v>
      </c>
      <c r="C90" s="1" t="str">
        <f t="shared" si="0"/>
        <v xml:space="preserve">(A) He's from the Information Technology 
department. 
</v>
      </c>
      <c r="D90" s="1" t="str">
        <f t="shared" si="1"/>
        <v xml:space="preserve">(B) I just got back from vacation today. 
</v>
      </c>
      <c r="E90" s="1" t="str">
        <f t="shared" si="2"/>
        <v>(C) Several hundred dollars.</v>
      </c>
      <c r="F90" s="1" t="s">
        <v>9</v>
      </c>
      <c r="G90" s="1">
        <v>1</v>
      </c>
    </row>
    <row r="91" spans="1:7" ht="105" x14ac:dyDescent="0.25">
      <c r="A91" s="1" t="str">
        <f t="shared" si="5"/>
        <v>Test4_Part2_Q24.mp3</v>
      </c>
      <c r="B91" s="2" t="s">
        <v>119</v>
      </c>
      <c r="C91" s="1" t="str">
        <f t="shared" si="0"/>
        <v xml:space="preserve">(A) I'll see if one's available. 
</v>
      </c>
      <c r="D91" s="1" t="str">
        <f t="shared" si="1"/>
        <v xml:space="preserve">(B) Is the noise bothering you? 
</v>
      </c>
      <c r="E91" s="1" t="str">
        <f t="shared" si="2"/>
        <v>(C) No thanks, it's already been done.</v>
      </c>
      <c r="F91" s="1" t="s">
        <v>9</v>
      </c>
      <c r="G91" s="1">
        <v>1</v>
      </c>
    </row>
    <row r="92" spans="1:7" ht="120" x14ac:dyDescent="0.25">
      <c r="A92" s="1" t="str">
        <f>"Test4_Part2_Q" &amp; ROW(A25) &amp; ".mp3"</f>
        <v>Test4_Part2_Q25.mp3</v>
      </c>
      <c r="B92" s="2" t="s">
        <v>120</v>
      </c>
      <c r="C92" s="1" t="str">
        <f t="shared" si="0"/>
        <v xml:space="preserve">(A) There was an e-mail update about that. 
</v>
      </c>
      <c r="D92" s="1" t="str">
        <f t="shared" si="1"/>
        <v xml:space="preserve">(B) Next to the break room. 
</v>
      </c>
      <c r="E92" s="1" t="str">
        <f t="shared" si="2"/>
        <v>(C) To buy the packing supplies.</v>
      </c>
      <c r="F92" s="1" t="s">
        <v>15</v>
      </c>
      <c r="G92" s="1">
        <v>1</v>
      </c>
    </row>
    <row r="93" spans="1:7" ht="90" x14ac:dyDescent="0.25">
      <c r="A93" s="1" t="s">
        <v>121</v>
      </c>
      <c r="B93" s="2" t="s">
        <v>122</v>
      </c>
      <c r="C93" s="1" t="str">
        <f t="shared" si="0"/>
        <v xml:space="preserve">(A) OK, I'll see you there. 
</v>
      </c>
      <c r="D93" s="1" t="str">
        <f t="shared" si="1"/>
        <v xml:space="preserve">(B) I thought it cost six dollars. 
</v>
      </c>
      <c r="E93" s="1" t="str">
        <f t="shared" si="2"/>
        <v>(C) It's nice to meet you.</v>
      </c>
      <c r="F93" s="1" t="s">
        <v>15</v>
      </c>
      <c r="G93" s="1">
        <v>1</v>
      </c>
    </row>
    <row r="94" spans="1:7" ht="75" x14ac:dyDescent="0.25">
      <c r="A94" s="1" t="str">
        <f>"Test5_Part2_Q" &amp; ROW(A2) &amp; ".mp3"</f>
        <v>Test5_Part2_Q2.mp3</v>
      </c>
      <c r="B94" s="2" t="s">
        <v>123</v>
      </c>
      <c r="C94" s="1" t="str">
        <f t="shared" si="0"/>
        <v xml:space="preserve">(A) No, I don't think so. 
</v>
      </c>
      <c r="D94" s="1" t="str">
        <f t="shared" si="1"/>
        <v xml:space="preserve">(B) From the hardware store. 
</v>
      </c>
      <c r="E94" s="1" t="str">
        <f t="shared" si="2"/>
        <v>(C) By the end of the week.</v>
      </c>
      <c r="F94" s="1" t="s">
        <v>11</v>
      </c>
      <c r="G94" s="1">
        <v>1</v>
      </c>
    </row>
    <row r="95" spans="1:7" ht="90" x14ac:dyDescent="0.25">
      <c r="A95" s="1" t="str">
        <f t="shared" ref="A95:A116" si="6">"Test5_Part2_Q" &amp; ROW(A3) &amp; ".mp3"</f>
        <v>Test5_Part2_Q3.mp3</v>
      </c>
      <c r="B95" s="2" t="s">
        <v>124</v>
      </c>
      <c r="C95" s="1" t="str">
        <f t="shared" si="0"/>
        <v xml:space="preserve">(A) On the last page. 
</v>
      </c>
      <c r="D95" s="1" t="str">
        <f t="shared" si="1"/>
        <v xml:space="preserve">(B) It is brighter in here now. 
</v>
      </c>
      <c r="E95" s="1" t="str">
        <f t="shared" si="2"/>
        <v>(C) There's one at the entrance.</v>
      </c>
      <c r="F95" s="1" t="s">
        <v>9</v>
      </c>
      <c r="G95" s="1">
        <v>1</v>
      </c>
    </row>
    <row r="96" spans="1:7" ht="90" x14ac:dyDescent="0.25">
      <c r="A96" s="1" t="str">
        <f t="shared" si="6"/>
        <v>Test5_Part2_Q4.mp3</v>
      </c>
      <c r="B96" s="2" t="s">
        <v>125</v>
      </c>
      <c r="C96" s="1" t="str">
        <f t="shared" si="0"/>
        <v xml:space="preserve">(A) They're on my desk. 
</v>
      </c>
      <c r="D96" s="1" t="str">
        <f t="shared" si="1"/>
        <v xml:space="preserve">(B) Yes, I did. 
</v>
      </c>
      <c r="E96" s="1" t="str">
        <f t="shared" si="2"/>
        <v>(C) He's at his attorney's office.</v>
      </c>
      <c r="F96" s="1" t="s">
        <v>15</v>
      </c>
      <c r="G96" s="1">
        <v>1</v>
      </c>
    </row>
    <row r="97" spans="1:7" ht="105" x14ac:dyDescent="0.25">
      <c r="A97" s="1" t="str">
        <f t="shared" si="6"/>
        <v>Test5_Part2_Q5.mp3</v>
      </c>
      <c r="B97" s="2" t="s">
        <v>126</v>
      </c>
      <c r="C97" s="1" t="str">
        <f t="shared" si="0"/>
        <v xml:space="preserve">(A) Ramon, the managing director. 
</v>
      </c>
      <c r="D97" s="1" t="str">
        <f t="shared" si="1"/>
        <v xml:space="preserve">(B) The last week of each quarter. 
</v>
      </c>
      <c r="E97" s="1" t="str">
        <f t="shared" si="2"/>
        <v>(C) I was hired last August.</v>
      </c>
      <c r="F97" s="1" t="s">
        <v>15</v>
      </c>
      <c r="G97" s="1">
        <v>1</v>
      </c>
    </row>
    <row r="98" spans="1:7" ht="105" x14ac:dyDescent="0.25">
      <c r="A98" s="1" t="str">
        <f t="shared" si="6"/>
        <v>Test5_Part2_Q6.mp3</v>
      </c>
      <c r="B98" s="2" t="s">
        <v>127</v>
      </c>
      <c r="C98" s="1" t="str">
        <f t="shared" si="0"/>
        <v xml:space="preserve">(A) No, I prefer art exhibits. 
</v>
      </c>
      <c r="D98" s="1" t="str">
        <f t="shared" si="1"/>
        <v xml:space="preserve">(B) I guess he does. 
</v>
      </c>
      <c r="E98" s="1" t="str">
        <f t="shared" si="2"/>
        <v>(C) let me check the schedule.</v>
      </c>
      <c r="F98" s="1" t="s">
        <v>11</v>
      </c>
      <c r="G98" s="1">
        <v>1</v>
      </c>
    </row>
    <row r="99" spans="1:7" ht="90" x14ac:dyDescent="0.25">
      <c r="A99" s="1" t="str">
        <f t="shared" si="6"/>
        <v>Test5_Part2_Q7.mp3</v>
      </c>
      <c r="B99" s="2" t="s">
        <v>128</v>
      </c>
      <c r="C99" s="1" t="str">
        <f t="shared" si="0"/>
        <v xml:space="preserve">(A) I just put in the request. 
</v>
      </c>
      <c r="D99" s="1" t="str">
        <f t="shared" si="1"/>
        <v xml:space="preserve">(B) If you don't mind, thanks. 
</v>
      </c>
      <c r="E99" s="1" t="str">
        <f t="shared" si="2"/>
        <v>(C) Let's get off at the next stop.</v>
      </c>
      <c r="F99" s="1" t="s">
        <v>15</v>
      </c>
      <c r="G99" s="1">
        <v>1</v>
      </c>
    </row>
    <row r="100" spans="1:7" ht="105" x14ac:dyDescent="0.25">
      <c r="A100" s="1" t="str">
        <f t="shared" si="6"/>
        <v>Test5_Part2_Q8.mp3</v>
      </c>
      <c r="B100" s="2" t="s">
        <v>129</v>
      </c>
      <c r="C100" s="1" t="str">
        <f t="shared" si="0"/>
        <v xml:space="preserve">(A) I haven't picked one. 
</v>
      </c>
      <c r="D100" s="1" t="str">
        <f t="shared" si="1"/>
        <v xml:space="preserve">(B) A long flight. 
</v>
      </c>
      <c r="E100" s="1" t="str">
        <f t="shared" si="2"/>
        <v>(C) Sure, at w hat time?</v>
      </c>
      <c r="F100" s="1" t="s">
        <v>11</v>
      </c>
      <c r="G100" s="1">
        <v>1</v>
      </c>
    </row>
    <row r="101" spans="1:7" ht="75" x14ac:dyDescent="0.25">
      <c r="A101" s="1" t="str">
        <f t="shared" si="6"/>
        <v>Test5_Part2_Q9.mp3</v>
      </c>
      <c r="B101" s="2" t="s">
        <v>130</v>
      </c>
      <c r="C101" s="1" t="str">
        <f t="shared" si="0"/>
        <v xml:space="preserve">(A) We always start at nine. 
</v>
      </c>
      <c r="D101" s="1" t="str">
        <f t="shared" si="1"/>
        <v xml:space="preserve">(B) I take the local train. 
</v>
      </c>
      <c r="E101" s="1" t="str">
        <f t="shared" si="2"/>
        <v>(C) It's very busy here.</v>
      </c>
      <c r="F101" s="1" t="s">
        <v>9</v>
      </c>
      <c r="G101" s="1">
        <v>1</v>
      </c>
    </row>
    <row r="102" spans="1:7" ht="120" x14ac:dyDescent="0.25">
      <c r="A102" s="1" t="str">
        <f t="shared" si="6"/>
        <v>Test5_Part2_Q10.mp3</v>
      </c>
      <c r="B102" s="2" t="s">
        <v>131</v>
      </c>
      <c r="C102" s="1" t="str">
        <f t="shared" si="0"/>
        <v xml:space="preserve">(A) Ask her to fill them out again. 
</v>
      </c>
      <c r="D102" s="1" t="str">
        <f t="shared" si="1"/>
        <v xml:space="preserve">(B) It is a well-written film. 
</v>
      </c>
      <c r="E102" s="1" t="str">
        <f t="shared" si="2"/>
        <v>(C) That depends on which post office.</v>
      </c>
      <c r="F102" s="1" t="s">
        <v>15</v>
      </c>
      <c r="G102" s="1">
        <v>1</v>
      </c>
    </row>
    <row r="103" spans="1:7" ht="75" x14ac:dyDescent="0.25">
      <c r="A103" s="1" t="str">
        <f t="shared" si="6"/>
        <v>Test5_Part2_Q11.mp3</v>
      </c>
      <c r="B103" s="2" t="s">
        <v>132</v>
      </c>
      <c r="C103" s="1" t="str">
        <f t="shared" si="0"/>
        <v xml:space="preserve">(A) Around fifteen percent. 
</v>
      </c>
      <c r="D103" s="1" t="str">
        <f t="shared" si="1"/>
        <v xml:space="preserve">(B) Yes, that's what I meant. 
</v>
      </c>
      <c r="E103" s="1" t="str">
        <f t="shared" si="2"/>
        <v>(C) Not until after lunch.</v>
      </c>
      <c r="F103" s="1" t="s">
        <v>11</v>
      </c>
      <c r="G103" s="1">
        <v>1</v>
      </c>
    </row>
    <row r="104" spans="1:7" ht="90" x14ac:dyDescent="0.25">
      <c r="A104" s="1" t="str">
        <f t="shared" si="6"/>
        <v>Test5_Part2_Q12.mp3</v>
      </c>
      <c r="B104" s="2" t="s">
        <v>133</v>
      </c>
      <c r="C104" s="1" t="str">
        <f t="shared" si="0"/>
        <v xml:space="preserve">(A) It's under review. 
</v>
      </c>
      <c r="D104" s="1" t="str">
        <f t="shared" si="1"/>
        <v xml:space="preserve">(B) I'm not signed up. 
</v>
      </c>
      <c r="E104" s="1" t="str">
        <f t="shared" si="2"/>
        <v>(C) A few acres.</v>
      </c>
      <c r="F104" s="1" t="s">
        <v>15</v>
      </c>
      <c r="G104" s="1">
        <v>1</v>
      </c>
    </row>
    <row r="105" spans="1:7" ht="90" x14ac:dyDescent="0.25">
      <c r="A105" s="1" t="str">
        <f t="shared" si="6"/>
        <v>Test5_Part2_Q13.mp3</v>
      </c>
      <c r="B105" s="2" t="s">
        <v>134</v>
      </c>
      <c r="C105" s="1" t="str">
        <f t="shared" si="0"/>
        <v xml:space="preserve">(A) It's easy to apply. 
</v>
      </c>
      <c r="D105" s="1" t="str">
        <f t="shared" si="1"/>
        <v xml:space="preserve">(B) Around thirty, I think. 
</v>
      </c>
      <c r="E105" s="1" t="str">
        <f t="shared" si="2"/>
        <v>(C) We sell refrigerators.</v>
      </c>
      <c r="F105" s="1" t="s">
        <v>9</v>
      </c>
      <c r="G105" s="1">
        <v>1</v>
      </c>
    </row>
    <row r="106" spans="1:7" ht="90" x14ac:dyDescent="0.25">
      <c r="A106" s="1" t="str">
        <f t="shared" si="6"/>
        <v>Test5_Part2_Q14.mp3</v>
      </c>
      <c r="B106" s="2" t="s">
        <v>135</v>
      </c>
      <c r="C106" s="1" t="str">
        <f t="shared" si="0"/>
        <v xml:space="preserve">(A) Isn't the hallway too noisy? 
</v>
      </c>
      <c r="D106" s="1" t="str">
        <f t="shared" si="1"/>
        <v xml:space="preserve">(B) In the second drawer. 
</v>
      </c>
      <c r="E106" s="1" t="str">
        <f t="shared" si="2"/>
        <v>(C) Yes, you can use it.</v>
      </c>
      <c r="F106" s="1" t="s">
        <v>15</v>
      </c>
      <c r="G106" s="1">
        <v>1</v>
      </c>
    </row>
    <row r="107" spans="1:7" ht="135" x14ac:dyDescent="0.25">
      <c r="A107" s="1" t="str">
        <f t="shared" si="6"/>
        <v>Test5_Part2_Q15.mp3</v>
      </c>
      <c r="B107" s="2" t="s">
        <v>136</v>
      </c>
      <c r="C107" s="1" t="str">
        <f t="shared" si="0"/>
        <v xml:space="preserve">(A) In the international terminal. 
</v>
      </c>
      <c r="D107" s="1" t="str">
        <f t="shared" si="1"/>
        <v xml:space="preserve">(B) All the way from Amsterdam. 
</v>
      </c>
      <c r="E107" s="1" t="str">
        <f t="shared" si="2"/>
        <v>(C) Ahmed made all those arrangements.</v>
      </c>
      <c r="F107" s="1" t="s">
        <v>11</v>
      </c>
      <c r="G107" s="1">
        <v>1</v>
      </c>
    </row>
    <row r="108" spans="1:7" ht="120" x14ac:dyDescent="0.25">
      <c r="A108" s="1" t="str">
        <f t="shared" si="6"/>
        <v>Test5_Part2_Q16.mp3</v>
      </c>
      <c r="B108" s="2" t="s">
        <v>137</v>
      </c>
      <c r="C108" s="1" t="str">
        <f t="shared" si="0"/>
        <v xml:space="preserve">(A) It does have a lovely view. 
</v>
      </c>
      <c r="D108" s="1" t="str">
        <f t="shared" si="1"/>
        <v xml:space="preserve">(B) No, there's one more. 
</v>
      </c>
      <c r="E108" s="1" t="str">
        <f t="shared" si="2"/>
        <v>(C) They preferred the old schedule.</v>
      </c>
      <c r="F108" s="1" t="s">
        <v>9</v>
      </c>
      <c r="G108" s="1">
        <v>1</v>
      </c>
    </row>
    <row r="109" spans="1:7" ht="120" x14ac:dyDescent="0.25">
      <c r="A109" s="1" t="str">
        <f t="shared" si="6"/>
        <v>Test5_Part2_Q17.mp3</v>
      </c>
      <c r="B109" s="2" t="s">
        <v>138</v>
      </c>
      <c r="C109" s="1" t="str">
        <f t="shared" si="0"/>
        <v xml:space="preserve">(A) A large supply order. 
</v>
      </c>
      <c r="D109" s="1" t="str">
        <f t="shared" si="1"/>
        <v xml:space="preserve">(B) The same one we used last year. 
</v>
      </c>
      <c r="E109" s="1" t="str">
        <f t="shared" si="2"/>
        <v>(C) The orders have come in over the phone.</v>
      </c>
      <c r="F109" s="1" t="s">
        <v>9</v>
      </c>
      <c r="G109" s="1">
        <v>1</v>
      </c>
    </row>
    <row r="110" spans="1:7" ht="90" x14ac:dyDescent="0.25">
      <c r="A110" s="1" t="str">
        <f t="shared" si="6"/>
        <v>Test5_Part2_Q18.mp3</v>
      </c>
      <c r="B110" s="2" t="s">
        <v>139</v>
      </c>
      <c r="C110" s="1" t="str">
        <f t="shared" si="0"/>
        <v xml:space="preserve">(A) Yes, that's a good idea. 
</v>
      </c>
      <c r="D110" s="1" t="str">
        <f t="shared" si="1"/>
        <v xml:space="preserve">(B) She works in human resources. 
</v>
      </c>
      <c r="E110" s="1" t="str">
        <f t="shared" si="2"/>
        <v>(C) No, just a few days.</v>
      </c>
      <c r="F110" s="1" t="s">
        <v>15</v>
      </c>
      <c r="G110" s="1">
        <v>1</v>
      </c>
    </row>
    <row r="111" spans="1:7" ht="135" x14ac:dyDescent="0.25">
      <c r="A111" s="1" t="str">
        <f t="shared" si="6"/>
        <v>Test5_Part2_Q19.mp3</v>
      </c>
      <c r="B111" s="2" t="s">
        <v>140</v>
      </c>
      <c r="C111" s="1" t="str">
        <f t="shared" si="0"/>
        <v xml:space="preserve">(A) I thought I put them in your mailbox. 
</v>
      </c>
      <c r="D111" s="1" t="str">
        <f t="shared" si="1"/>
        <v xml:space="preserve">(B) I didn't organize the concert last year. 
</v>
      </c>
      <c r="E111" s="1" t="str">
        <f t="shared" si="2"/>
        <v>(C) It will be held on Tuesday.</v>
      </c>
      <c r="F111" s="1" t="s">
        <v>9</v>
      </c>
      <c r="G111" s="1">
        <v>1</v>
      </c>
    </row>
    <row r="112" spans="1:7" ht="105" x14ac:dyDescent="0.25">
      <c r="A112" s="1" t="str">
        <f t="shared" si="6"/>
        <v>Test5_Part2_Q20.mp3</v>
      </c>
      <c r="B112" s="2" t="s">
        <v>141</v>
      </c>
      <c r="C112" s="1" t="str">
        <f t="shared" si="0"/>
        <v xml:space="preserve">(A) Tomorrow's has been canceled. 
</v>
      </c>
      <c r="D112" s="1" t="str">
        <f t="shared" si="1"/>
        <v xml:space="preserve">(B) Only a slight increase. 
</v>
      </c>
      <c r="E112" s="1" t="str">
        <f t="shared" si="2"/>
        <v>(C) Are all purchases final?</v>
      </c>
      <c r="F112" s="1" t="s">
        <v>15</v>
      </c>
      <c r="G112" s="1">
        <v>1</v>
      </c>
    </row>
    <row r="113" spans="1:7" ht="120" x14ac:dyDescent="0.25">
      <c r="A113" s="1" t="str">
        <f>"Test5_Part2_Q" &amp; ROW(A21) &amp; ".mp3"</f>
        <v>Test5_Part2_Q21.mp3</v>
      </c>
      <c r="B113" s="2" t="s">
        <v>142</v>
      </c>
      <c r="C113" s="1" t="str">
        <f t="shared" si="0"/>
        <v xml:space="preserve">(A) With a matching scarf. 
</v>
      </c>
      <c r="D113" s="1" t="str">
        <f t="shared" si="1"/>
        <v xml:space="preserve">(B) According to the weather report. 
</v>
      </c>
      <c r="E113" s="1" t="str">
        <f t="shared" si="2"/>
        <v>(C) Would you like to go inside?</v>
      </c>
      <c r="F113" s="1" t="s">
        <v>11</v>
      </c>
      <c r="G113" s="1">
        <v>1</v>
      </c>
    </row>
    <row r="114" spans="1:7" ht="105" x14ac:dyDescent="0.25">
      <c r="A114" s="1" t="str">
        <f t="shared" si="6"/>
        <v>Test5_Part2_Q22.mp3</v>
      </c>
      <c r="B114" s="2" t="s">
        <v>143</v>
      </c>
      <c r="C114" s="1" t="str">
        <f t="shared" si="0"/>
        <v xml:space="preserve">(A) It ends at ten o'clock. 
</v>
      </c>
      <c r="D114" s="1" t="str">
        <f t="shared" si="1"/>
        <v xml:space="preserve">(B) Of course we can. 
</v>
      </c>
      <c r="E114" s="1" t="str">
        <f t="shared" si="2"/>
        <v>(C) There are plenty of rooms.</v>
      </c>
      <c r="F114" s="1" t="s">
        <v>9</v>
      </c>
      <c r="G114" s="1">
        <v>1</v>
      </c>
    </row>
    <row r="115" spans="1:7" ht="105" x14ac:dyDescent="0.25">
      <c r="A115" s="1" t="str">
        <f t="shared" si="6"/>
        <v>Test5_Part2_Q23.mp3</v>
      </c>
      <c r="B115" s="2" t="s">
        <v>144</v>
      </c>
      <c r="C115" s="1" t="str">
        <f t="shared" si="0"/>
        <v xml:space="preserve">(A) A leader in the business. 
</v>
      </c>
      <c r="D115" s="1" t="str">
        <f t="shared" si="1"/>
        <v xml:space="preserve">(B) I put it next to the window. 
</v>
      </c>
      <c r="E115" s="1" t="str">
        <f t="shared" si="2"/>
        <v>(C) She found a job in Chicago.</v>
      </c>
      <c r="F115" s="1" t="s">
        <v>11</v>
      </c>
      <c r="G115" s="1">
        <v>1</v>
      </c>
    </row>
    <row r="116" spans="1:7" ht="90" x14ac:dyDescent="0.25">
      <c r="A116" s="1" t="str">
        <f t="shared" si="6"/>
        <v>Test5_Part2_Q24.mp3</v>
      </c>
      <c r="B116" s="2" t="s">
        <v>145</v>
      </c>
      <c r="C116" s="1" t="str">
        <f t="shared" si="0"/>
        <v xml:space="preserve">(A) There's room in the taxi. 
</v>
      </c>
      <c r="D116" s="1" t="str">
        <f t="shared" si="1"/>
        <v xml:space="preserve">(B) Either is fine with me. 
</v>
      </c>
      <c r="E116" s="1" t="str">
        <f t="shared" si="2"/>
        <v>(C) Yes, you're right.</v>
      </c>
      <c r="F116" s="1" t="s">
        <v>9</v>
      </c>
      <c r="G116" s="1">
        <v>1</v>
      </c>
    </row>
    <row r="117" spans="1:7" ht="90" x14ac:dyDescent="0.25">
      <c r="A117" s="1" t="str">
        <f>"Test5_Part2_Q" &amp; ROW(A25) &amp; ".mp3"</f>
        <v>Test5_Part2_Q25.mp3</v>
      </c>
      <c r="B117" s="2" t="s">
        <v>146</v>
      </c>
      <c r="C117" s="1" t="str">
        <f t="shared" si="0"/>
        <v xml:space="preserve">(A) Maybe later, thanks. 
</v>
      </c>
      <c r="D117" s="1" t="str">
        <f t="shared" si="1"/>
        <v xml:space="preserve">(B) It's in the top drawer. 
</v>
      </c>
      <c r="E117" s="1" t="str">
        <f t="shared" si="2"/>
        <v>(C) You'd better call them.</v>
      </c>
      <c r="F117" s="1" t="s">
        <v>11</v>
      </c>
      <c r="G117" s="1">
        <v>1</v>
      </c>
    </row>
    <row r="118" spans="1:7" ht="75" x14ac:dyDescent="0.25">
      <c r="A118" s="1" t="s">
        <v>147</v>
      </c>
      <c r="B118" s="2" t="s">
        <v>148</v>
      </c>
      <c r="C118" s="1" t="str">
        <f t="shared" si="0"/>
        <v xml:space="preserve">(A) Her name is Jee-Soo. 
</v>
      </c>
      <c r="D118" s="1" t="str">
        <f t="shared" si="1"/>
        <v xml:space="preserve">(B) We're behind schedule. 
</v>
      </c>
      <c r="E118" s="1" t="str">
        <f t="shared" si="2"/>
        <v>(C) Yes, they're from last month.</v>
      </c>
      <c r="F118" s="1" t="s">
        <v>15</v>
      </c>
    </row>
    <row r="119" spans="1:7" ht="120" x14ac:dyDescent="0.25">
      <c r="A119" s="1" t="str">
        <f>"Test6_Part2_Q" &amp; ROW(A2) &amp; ".mp3"</f>
        <v>Test6_Part2_Q2.mp3</v>
      </c>
      <c r="B119" s="2" t="s">
        <v>149</v>
      </c>
      <c r="C119" s="1" t="str">
        <f t="shared" si="0"/>
        <v xml:space="preserve">(A) Four or five tickets. 
</v>
      </c>
      <c r="D119" s="1" t="str">
        <f t="shared" si="1"/>
        <v xml:space="preserve">(B) She made a large donation. 
</v>
      </c>
      <c r="E119" s="1" t="str">
        <f t="shared" si="2"/>
        <v>(C) I'm not in charge of the music.</v>
      </c>
      <c r="F119" s="1" t="s">
        <v>11</v>
      </c>
    </row>
    <row r="120" spans="1:7" ht="90" x14ac:dyDescent="0.25">
      <c r="A120" s="1" t="str">
        <f t="shared" ref="A120:A142" si="7">"Test6_Part2_Q" &amp; ROW(A3) &amp; ".mp3"</f>
        <v>Test6_Part2_Q3.mp3</v>
      </c>
      <c r="B120" s="2" t="s">
        <v>150</v>
      </c>
      <c r="C120" s="1" t="str">
        <f t="shared" si="0"/>
        <v xml:space="preserve">(A) Outside the store. 
</v>
      </c>
      <c r="D120" s="1" t="str">
        <f t="shared" si="1"/>
        <v xml:space="preserve">(B) Yes, it's still on Friday. 
</v>
      </c>
      <c r="E120" s="1" t="str">
        <f t="shared" si="2"/>
        <v>(C) I have a checklist.</v>
      </c>
      <c r="F120" s="1" t="s">
        <v>11</v>
      </c>
    </row>
    <row r="121" spans="1:7" ht="90" x14ac:dyDescent="0.25">
      <c r="A121" s="1" t="str">
        <f t="shared" si="7"/>
        <v>Test6_Part2_Q4.mp3</v>
      </c>
      <c r="B121" s="2" t="s">
        <v>151</v>
      </c>
      <c r="C121" s="1" t="str">
        <f t="shared" si="0"/>
        <v xml:space="preserve">(A) I've made a list of supplies. 
</v>
      </c>
      <c r="D121" s="1" t="str">
        <f t="shared" si="1"/>
        <v xml:space="preserve">(B) Try this gear. 
</v>
      </c>
      <c r="E121" s="1" t="str">
        <f t="shared" si="2"/>
        <v>(C) In Madison Park.</v>
      </c>
      <c r="F121" s="1" t="s">
        <v>11</v>
      </c>
    </row>
    <row r="122" spans="1:7" ht="90" x14ac:dyDescent="0.25">
      <c r="A122" s="1" t="str">
        <f t="shared" si="7"/>
        <v>Test6_Part2_Q5.mp3</v>
      </c>
      <c r="B122" s="2" t="s">
        <v>152</v>
      </c>
      <c r="C122" s="1" t="str">
        <f t="shared" si="0"/>
        <v xml:space="preserve">(A) It's a bit hot today. 
</v>
      </c>
      <c r="D122" s="1" t="str">
        <f t="shared" si="1"/>
        <v xml:space="preserve">(B) I'll keep track of it. 
</v>
      </c>
      <c r="E122" s="1" t="str">
        <f t="shared" si="2"/>
        <v>(C) My favorite pair of shoes.</v>
      </c>
      <c r="F122" s="1" t="s">
        <v>15</v>
      </c>
    </row>
    <row r="123" spans="1:7" ht="120" x14ac:dyDescent="0.25">
      <c r="A123" s="1" t="str">
        <f t="shared" si="7"/>
        <v>Test6_Part2_Q6.mp3</v>
      </c>
      <c r="B123" s="2" t="s">
        <v>153</v>
      </c>
      <c r="C123" s="1" t="str">
        <f t="shared" si="0"/>
        <v xml:space="preserve">(A) She's sitting in row fifteen. 
</v>
      </c>
      <c r="D123" s="1" t="str">
        <f t="shared" si="1"/>
        <v xml:space="preserve">(B) A marketing request. 
</v>
      </c>
      <c r="E123" s="1" t="str">
        <f t="shared" si="2"/>
        <v>(C) I'll look at the results again.</v>
      </c>
      <c r="F123" s="1" t="s">
        <v>11</v>
      </c>
    </row>
    <row r="124" spans="1:7" ht="135" x14ac:dyDescent="0.25">
      <c r="A124" s="1" t="str">
        <f t="shared" si="7"/>
        <v>Test6_Part2_Q7.mp3</v>
      </c>
      <c r="B124" s="2" t="s">
        <v>154</v>
      </c>
      <c r="C124" s="1" t="str">
        <f t="shared" si="0"/>
        <v xml:space="preserve">(A) It'll be ready by the end of the day. 
</v>
      </c>
      <c r="D124" s="1" t="str">
        <f t="shared" si="1"/>
        <v xml:space="preserve">(B) That's more money than expected. 
</v>
      </c>
      <c r="E124" s="1" t="str">
        <f t="shared" si="2"/>
        <v>(C) He's a reporter for the local paper.</v>
      </c>
      <c r="F124" s="1" t="s">
        <v>15</v>
      </c>
    </row>
    <row r="125" spans="1:7" ht="105" x14ac:dyDescent="0.25">
      <c r="A125" s="1" t="str">
        <f t="shared" si="7"/>
        <v>Test6_Part2_Q8.mp3</v>
      </c>
      <c r="B125" s="2" t="s">
        <v>155</v>
      </c>
      <c r="C125" s="1" t="str">
        <f t="shared" si="0"/>
        <v xml:space="preserve">(A) That's a good point. 
</v>
      </c>
      <c r="D125" s="1" t="str">
        <f t="shared" si="1"/>
        <v xml:space="preserve">(B) Is there pineapple in it? 
</v>
      </c>
      <c r="E125" s="1" t="str">
        <f t="shared" si="2"/>
        <v>(C) I never knew that.</v>
      </c>
      <c r="F125" s="1" t="s">
        <v>9</v>
      </c>
    </row>
    <row r="126" spans="1:7" ht="105" x14ac:dyDescent="0.25">
      <c r="A126" s="1" t="str">
        <f t="shared" si="7"/>
        <v>Test6_Part2_Q9.mp3</v>
      </c>
      <c r="B126" s="2" t="s">
        <v>156</v>
      </c>
      <c r="C126" s="1" t="str">
        <f t="shared" si="0"/>
        <v xml:space="preserve">(A) A reservation, please. 
</v>
      </c>
      <c r="D126" s="1" t="str">
        <f t="shared" si="1"/>
        <v xml:space="preserve">(B) Ming, James, and Ana. 
</v>
      </c>
      <c r="E126" s="1" t="str">
        <f t="shared" si="2"/>
        <v>(C) I may have time tomorrow.</v>
      </c>
      <c r="F126" s="1" t="s">
        <v>11</v>
      </c>
    </row>
    <row r="127" spans="1:7" ht="105" x14ac:dyDescent="0.25">
      <c r="A127" s="1" t="str">
        <f t="shared" si="7"/>
        <v>Test6_Part2_Q10.mp3</v>
      </c>
      <c r="B127" s="2" t="s">
        <v>157</v>
      </c>
      <c r="C127" s="1" t="str">
        <f t="shared" si="0"/>
        <v xml:space="preserve">(A) Would you mind doing that? 
</v>
      </c>
      <c r="D127" s="1" t="str">
        <f t="shared" si="1"/>
        <v xml:space="preserve">(B) In the newsletter. 
</v>
      </c>
      <c r="E127" s="1" t="str">
        <f t="shared" si="2"/>
        <v>(C) Yes-you can leave it on his desk.</v>
      </c>
      <c r="F127" s="1" t="s">
        <v>11</v>
      </c>
    </row>
    <row r="128" spans="1:7" ht="105" x14ac:dyDescent="0.25">
      <c r="A128" s="1" t="str">
        <f t="shared" si="7"/>
        <v>Test6_Part2_Q11.mp3</v>
      </c>
      <c r="B128" s="2" t="s">
        <v>158</v>
      </c>
      <c r="C128" s="1" t="str">
        <f t="shared" si="0"/>
        <v xml:space="preserve">(A) For about an hour. 
</v>
      </c>
      <c r="D128" s="1" t="str">
        <f t="shared" si="1"/>
        <v xml:space="preserve">(B) Sure, when he comes back. 
</v>
      </c>
      <c r="E128" s="1" t="str">
        <f t="shared" si="2"/>
        <v>(C) No, I haven't.</v>
      </c>
      <c r="F128" s="1" t="s">
        <v>9</v>
      </c>
    </row>
    <row r="129" spans="1:6" ht="120" x14ac:dyDescent="0.25">
      <c r="A129" s="1" t="str">
        <f t="shared" si="7"/>
        <v>Test6_Part2_Q12.mp3</v>
      </c>
      <c r="B129" s="2" t="s">
        <v>159</v>
      </c>
      <c r="C129" s="1" t="str">
        <f t="shared" si="0"/>
        <v xml:space="preserve">(A) Eighteen chairs. 
</v>
      </c>
      <c r="D129" s="1" t="str">
        <f t="shared" si="1"/>
        <v xml:space="preserve">(B) I'll have some coffee, thanks. 
</v>
      </c>
      <c r="E129" s="1" t="str">
        <f t="shared" si="2"/>
        <v>(C) Because I had to make more space.</v>
      </c>
      <c r="F129" s="1" t="s">
        <v>11</v>
      </c>
    </row>
    <row r="130" spans="1:6" ht="90" x14ac:dyDescent="0.25">
      <c r="A130" s="1" t="str">
        <f t="shared" si="7"/>
        <v>Test6_Part2_Q13.mp3</v>
      </c>
      <c r="B130" s="2" t="s">
        <v>160</v>
      </c>
      <c r="C130" s="1" t="str">
        <f t="shared" si="0"/>
        <v xml:space="preserve">(A) What size do you wear? 
</v>
      </c>
      <c r="D130" s="1" t="str">
        <f t="shared" si="1"/>
        <v xml:space="preserve">(B) She went to that store, too. 
</v>
      </c>
      <c r="E130" s="1" t="str">
        <f t="shared" si="2"/>
        <v>(C) A thirty-day return policy.</v>
      </c>
      <c r="F130" s="1" t="s">
        <v>15</v>
      </c>
    </row>
    <row r="131" spans="1:6" ht="120" x14ac:dyDescent="0.25">
      <c r="A131" s="1" t="str">
        <f t="shared" si="7"/>
        <v>Test6_Part2_Q14.mp3</v>
      </c>
      <c r="B131" s="2" t="s">
        <v>161</v>
      </c>
      <c r="C131" s="1" t="str">
        <f t="shared" si="0"/>
        <v xml:space="preserve">(A) She seems highly qualified. 
</v>
      </c>
      <c r="D131" s="1" t="str">
        <f t="shared" si="1"/>
        <v xml:space="preserve">(B) At the job fair in Singapore. 
</v>
      </c>
      <c r="E131" s="1" t="str">
        <f t="shared" si="2"/>
        <v>(C) Yes, I met him last week.</v>
      </c>
      <c r="F131" s="1" t="s">
        <v>15</v>
      </c>
    </row>
    <row r="132" spans="1:6" ht="120" x14ac:dyDescent="0.25">
      <c r="A132" s="1" t="str">
        <f t="shared" si="7"/>
        <v>Test6_Part2_Q15.mp3</v>
      </c>
      <c r="B132" s="2" t="s">
        <v>162</v>
      </c>
      <c r="C132" s="1" t="str">
        <f t="shared" si="0"/>
        <v xml:space="preserve">(A) I'm almost finished with it. 
</v>
      </c>
      <c r="D132" s="1" t="str">
        <f t="shared" si="1"/>
        <v xml:space="preserve">(B) That's a good idea. 
</v>
      </c>
      <c r="E132" s="1" t="str">
        <f t="shared" si="2"/>
        <v>(C) It's not very far from here.</v>
      </c>
      <c r="F132" s="1" t="s">
        <v>15</v>
      </c>
    </row>
    <row r="133" spans="1:6" ht="135" x14ac:dyDescent="0.25">
      <c r="A133" s="1" t="str">
        <f t="shared" si="7"/>
        <v>Test6_Part2_Q16.mp3</v>
      </c>
      <c r="B133" s="2" t="s">
        <v>163</v>
      </c>
      <c r="C133" s="1" t="str">
        <f t="shared" si="0"/>
        <v xml:space="preserve">(A) I prefer to live by the train station. 
</v>
      </c>
      <c r="D133" s="1" t="str">
        <f t="shared" si="1"/>
        <v xml:space="preserve">(B) Mary is checking the inventory now. 
</v>
      </c>
      <c r="E133" s="1" t="str">
        <f t="shared" si="2"/>
        <v>(C) It pays twenty dollars an hour.</v>
      </c>
      <c r="F133" s="1" t="s">
        <v>9</v>
      </c>
    </row>
    <row r="134" spans="1:6" ht="75" x14ac:dyDescent="0.25">
      <c r="A134" s="1" t="str">
        <f t="shared" si="7"/>
        <v>Test6_Part2_Q17.mp3</v>
      </c>
      <c r="B134" s="2" t="s">
        <v>164</v>
      </c>
      <c r="C134" s="1" t="str">
        <f t="shared" si="0"/>
        <v xml:space="preserve">(A) No, I'll do it tonight. 
</v>
      </c>
      <c r="D134" s="1" t="str">
        <f t="shared" si="1"/>
        <v xml:space="preserve">(B) I read that. 
</v>
      </c>
      <c r="E134" s="1" t="str">
        <f t="shared" si="2"/>
        <v>(C) Just a suitcase.</v>
      </c>
      <c r="F134" s="1" t="s">
        <v>15</v>
      </c>
    </row>
    <row r="135" spans="1:6" ht="75" x14ac:dyDescent="0.25">
      <c r="A135" s="1" t="str">
        <f t="shared" si="7"/>
        <v>Test6_Part2_Q18.mp3</v>
      </c>
      <c r="B135" s="2" t="s">
        <v>165</v>
      </c>
      <c r="C135" s="1" t="str">
        <f t="shared" si="0"/>
        <v xml:space="preserve">(A) Isn't it in the cabinet? 
</v>
      </c>
      <c r="D135" s="1" t="str">
        <f t="shared" si="1"/>
        <v xml:space="preserve">(B) Usually every evening. 
</v>
      </c>
      <c r="E135" s="1" t="str">
        <f t="shared" si="2"/>
        <v>(C) It's very fast.</v>
      </c>
      <c r="F135" s="1" t="s">
        <v>15</v>
      </c>
    </row>
    <row r="136" spans="1:6" ht="105" x14ac:dyDescent="0.25">
      <c r="A136" s="1" t="str">
        <f t="shared" si="7"/>
        <v>Test6_Part2_Q19.mp3</v>
      </c>
      <c r="B136" s="2" t="s">
        <v>166</v>
      </c>
      <c r="C136" s="1" t="str">
        <f t="shared" si="0"/>
        <v xml:space="preserve">(A) Yes, we were introduced. 
</v>
      </c>
      <c r="D136" s="1" t="str">
        <f t="shared" si="1"/>
        <v xml:space="preserve">(B) It's a fantastic view. 
</v>
      </c>
      <c r="E136" s="1" t="str">
        <f t="shared" si="2"/>
        <v>(C) He's given that presentation before.</v>
      </c>
      <c r="F136" s="1" t="s">
        <v>11</v>
      </c>
    </row>
    <row r="137" spans="1:6" ht="105" x14ac:dyDescent="0.25">
      <c r="A137" s="1" t="str">
        <f>"Test6_Part2_Q" &amp; ROW(A20) &amp; ".mp3"</f>
        <v>Test6_Part2_Q20.mp3</v>
      </c>
      <c r="B137" s="2" t="s">
        <v>167</v>
      </c>
      <c r="C137" s="1" t="str">
        <f t="shared" si="0"/>
        <v xml:space="preserve">(A) That lunch was delicious. 
</v>
      </c>
      <c r="D137" s="1" t="str">
        <f t="shared" si="1"/>
        <v xml:space="preserve">(B) Sure, it was quite exciting. 
</v>
      </c>
      <c r="E137" s="1" t="str">
        <f t="shared" si="2"/>
        <v>(C) Aren't you going?</v>
      </c>
      <c r="F137" s="1" t="s">
        <v>11</v>
      </c>
    </row>
    <row r="138" spans="1:6" ht="135" x14ac:dyDescent="0.25">
      <c r="A138" s="1" t="str">
        <f t="shared" si="7"/>
        <v>Test6_Part2_Q21.mp3</v>
      </c>
      <c r="B138" s="2" t="s">
        <v>168</v>
      </c>
      <c r="C138" s="1" t="str">
        <f t="shared" si="0"/>
        <v xml:space="preserve">(A) Unfortunately, they didn't pass. 
</v>
      </c>
      <c r="D138" s="1" t="str">
        <f t="shared" si="1"/>
        <v xml:space="preserve">(B) I haven't used the new system yet. 
</v>
      </c>
      <c r="E138" s="1" t="str">
        <f t="shared" si="2"/>
        <v>(C) Let's change the ink in the printer.</v>
      </c>
      <c r="F138" s="1" t="s">
        <v>9</v>
      </c>
    </row>
    <row r="139" spans="1:6" ht="105" x14ac:dyDescent="0.25">
      <c r="A139" s="1" t="str">
        <f t="shared" si="7"/>
        <v>Test6_Part2_Q22.mp3</v>
      </c>
      <c r="B139" s="2" t="s">
        <v>169</v>
      </c>
      <c r="C139" s="1" t="str">
        <f t="shared" si="0"/>
        <v xml:space="preserve">(A) It's held every March. 
</v>
      </c>
      <c r="D139" s="1" t="str">
        <f t="shared" si="1"/>
        <v xml:space="preserve">(B) About innovation. 
</v>
      </c>
      <c r="E139" s="1" t="str">
        <f t="shared" si="2"/>
        <v>(C) Here's the conference schedule.</v>
      </c>
      <c r="F139" s="1" t="s">
        <v>11</v>
      </c>
    </row>
    <row r="140" spans="1:6" ht="90" x14ac:dyDescent="0.25">
      <c r="A140" s="1" t="str">
        <f t="shared" si="7"/>
        <v>Test6_Part2_Q23.mp3</v>
      </c>
      <c r="B140" s="2" t="s">
        <v>170</v>
      </c>
      <c r="C140" s="1" t="str">
        <f t="shared" si="0"/>
        <v xml:space="preserve">(A) We did, but I don't like it. 
</v>
      </c>
      <c r="D140" s="1" t="str">
        <f t="shared" si="1"/>
        <v xml:space="preserve">(B) A few pages long. 
</v>
      </c>
      <c r="E140" s="1" t="str">
        <f t="shared" si="2"/>
        <v>(C) What type of computer?</v>
      </c>
      <c r="F140" s="1" t="s">
        <v>15</v>
      </c>
    </row>
    <row r="141" spans="1:6" ht="90" x14ac:dyDescent="0.25">
      <c r="A141" s="1" t="str">
        <f>"Test6_Part2_Q" &amp; ROW(A24) &amp; ".mp3"</f>
        <v>Test6_Part2_Q24.mp3</v>
      </c>
      <c r="B141" s="2" t="s">
        <v>171</v>
      </c>
      <c r="C141" s="1" t="str">
        <f t="shared" si="0"/>
        <v xml:space="preserve">(A) It isn't difficult. 
</v>
      </c>
      <c r="D141" s="1" t="str">
        <f t="shared" si="1"/>
        <v xml:space="preserve">(B) A printed copy. 
</v>
      </c>
      <c r="E141" s="1" t="str">
        <f t="shared" si="2"/>
        <v>(C) The road is closed</v>
      </c>
      <c r="F141" s="1" t="s">
        <v>15</v>
      </c>
    </row>
    <row r="142" spans="1:6" ht="135" x14ac:dyDescent="0.25">
      <c r="A142" s="1" t="str">
        <f t="shared" si="7"/>
        <v>Test6_Part2_Q25.mp3</v>
      </c>
      <c r="B142" s="2" t="s">
        <v>172</v>
      </c>
      <c r="C142" s="1" t="str">
        <f t="shared" si="0"/>
        <v xml:space="preserve">(A) Yes, the door on your right. 
</v>
      </c>
      <c r="D142" s="1" t="str">
        <f t="shared" si="1"/>
        <v xml:space="preserve">(B) Just dropping off some forms. 
</v>
      </c>
      <c r="E142" s="1" t="str">
        <f t="shared" si="2"/>
        <v>(C) It's a good law firm.</v>
      </c>
      <c r="F142" s="1" t="s">
        <v>9</v>
      </c>
    </row>
    <row r="143" spans="1:6" ht="105" x14ac:dyDescent="0.25">
      <c r="A143" s="1" t="s">
        <v>173</v>
      </c>
      <c r="B143" s="2" t="s">
        <v>174</v>
      </c>
      <c r="C143" s="1" t="str">
        <f t="shared" si="0"/>
        <v xml:space="preserve">(A) It's on the second floor. 
</v>
      </c>
      <c r="D143" s="1" t="str">
        <f t="shared" si="1"/>
        <v xml:space="preserve">(B) The filing cabinet on the left. 
</v>
      </c>
      <c r="E143" s="1" t="str">
        <f t="shared" si="2"/>
        <v>(C) We have to use official stationery.</v>
      </c>
      <c r="F143" s="1" t="s">
        <v>15</v>
      </c>
    </row>
    <row r="144" spans="1:6" ht="75" x14ac:dyDescent="0.25">
      <c r="A144" s="1" t="str">
        <f>"Test7_Part2_Q" &amp; ROW(A2) &amp; ".mp3"</f>
        <v>Test7_Part2_Q2.mp3</v>
      </c>
      <c r="B144" s="2" t="s">
        <v>175</v>
      </c>
      <c r="C144" s="1" t="str">
        <f t="shared" si="0"/>
        <v xml:space="preserve">(A) At noon on Wednesday. 
</v>
      </c>
      <c r="D144" s="1" t="str">
        <f t="shared" si="1"/>
        <v xml:space="preserve">(B) My computer works. 
</v>
      </c>
      <c r="E144" s="1" t="str">
        <f t="shared" si="2"/>
        <v>(C) The one next to the printer.</v>
      </c>
      <c r="F144" s="1" t="s">
        <v>11</v>
      </c>
    </row>
    <row r="145" spans="1:6" ht="60" x14ac:dyDescent="0.25">
      <c r="A145" s="1" t="str">
        <f t="shared" ref="A145:A167" si="8">"Test7_Part2_Q" &amp; ROW(A3) &amp; ".mp3"</f>
        <v>Test7_Part2_Q3.mp3</v>
      </c>
      <c r="B145" s="2" t="s">
        <v>176</v>
      </c>
      <c r="C145" s="1" t="str">
        <f t="shared" si="0"/>
        <v xml:space="preserve">(A) A fork and knife. 
</v>
      </c>
      <c r="D145" s="1" t="str">
        <f t="shared" si="1"/>
        <v xml:space="preserve">(B) By credit card. 
</v>
      </c>
      <c r="E145" s="1" t="str">
        <f t="shared" si="2"/>
        <v>(C) That was me.</v>
      </c>
      <c r="F145" s="1" t="s">
        <v>11</v>
      </c>
    </row>
    <row r="146" spans="1:6" ht="120" x14ac:dyDescent="0.25">
      <c r="A146" s="1" t="str">
        <f t="shared" si="8"/>
        <v>Test7_Part2_Q4.mp3</v>
      </c>
      <c r="B146" s="2" t="s">
        <v>177</v>
      </c>
      <c r="C146" s="1" t="str">
        <f t="shared" si="0"/>
        <v xml:space="preserve">(A) Recruiting strategies. 
</v>
      </c>
      <c r="D146" s="1" t="str">
        <f t="shared" si="1"/>
        <v xml:space="preserve">(B) Yes, he'll be here in ten minutes. 
</v>
      </c>
      <c r="E146" s="1" t="str">
        <f t="shared" si="2"/>
        <v>(C) Would you prefer chicken?</v>
      </c>
      <c r="F146" s="1" t="s">
        <v>9</v>
      </c>
    </row>
    <row r="147" spans="1:6" ht="105" x14ac:dyDescent="0.25">
      <c r="A147" s="1" t="str">
        <f t="shared" si="8"/>
        <v>Test7_Part2_Q5.mp3</v>
      </c>
      <c r="B147" s="2" t="s">
        <v>178</v>
      </c>
      <c r="C147" s="1" t="str">
        <f t="shared" si="0"/>
        <v xml:space="preserve">(A) A hard worker. 
</v>
      </c>
      <c r="D147" s="1" t="str">
        <f t="shared" si="1"/>
        <v xml:space="preserve">(B) On Monday. 
</v>
      </c>
      <c r="E147" s="1" t="str">
        <f t="shared" si="2"/>
        <v>(C) Yes, she is.</v>
      </c>
      <c r="F147" s="1" t="s">
        <v>9</v>
      </c>
    </row>
    <row r="148" spans="1:6" ht="90" x14ac:dyDescent="0.25">
      <c r="A148" s="1" t="str">
        <f t="shared" si="8"/>
        <v>Test7_Part2_Q6.mp3</v>
      </c>
      <c r="B148" s="2" t="s">
        <v>179</v>
      </c>
      <c r="C148" s="1" t="str">
        <f t="shared" si="0"/>
        <v xml:space="preserve">(A) Check the parking area. 
</v>
      </c>
      <c r="D148" s="1" t="str">
        <f t="shared" si="1"/>
        <v xml:space="preserve">(B) No, I've been here before. 
</v>
      </c>
      <c r="E148" s="1" t="str">
        <f t="shared" si="2"/>
        <v>(C) We won first prize!</v>
      </c>
      <c r="F148" s="1" t="s">
        <v>9</v>
      </c>
    </row>
    <row r="149" spans="1:6" ht="120" x14ac:dyDescent="0.25">
      <c r="A149" s="1" t="str">
        <f t="shared" si="8"/>
        <v>Test7_Part2_Q7.mp3</v>
      </c>
      <c r="B149" s="2" t="s">
        <v>180</v>
      </c>
      <c r="C149" s="1" t="str">
        <f t="shared" si="0"/>
        <v xml:space="preserve">(A) No, I'm going to go see it tomorrow. 
</v>
      </c>
      <c r="D149" s="1" t="str">
        <f t="shared" si="1"/>
        <v xml:space="preserve">(B) An award-winning movie director. 
</v>
      </c>
      <c r="E149" s="1" t="str">
        <f t="shared" si="2"/>
        <v>(C) To visit my friend.</v>
      </c>
      <c r="F149" s="1" t="s">
        <v>15</v>
      </c>
    </row>
    <row r="150" spans="1:6" ht="150" x14ac:dyDescent="0.25">
      <c r="A150" s="1" t="str">
        <f t="shared" si="8"/>
        <v>Test7_Part2_Q8.mp3</v>
      </c>
      <c r="B150" s="2" t="s">
        <v>181</v>
      </c>
      <c r="C150" s="1" t="str">
        <f t="shared" si="0"/>
        <v xml:space="preserve">(A) I'm leading a workshop early tomorrow 
morning. 
</v>
      </c>
      <c r="D150" s="1" t="str">
        <f t="shared" si="1"/>
        <v xml:space="preserve">(B) The farmers market sells them. 
</v>
      </c>
      <c r="E150" s="1" t="str">
        <f t="shared" si="2"/>
        <v>(C) We'll find you a table in the back.</v>
      </c>
      <c r="F150" s="1" t="s">
        <v>15</v>
      </c>
    </row>
    <row r="151" spans="1:6" ht="120" x14ac:dyDescent="0.25">
      <c r="A151" s="1" t="str">
        <f t="shared" si="8"/>
        <v>Test7_Part2_Q9.mp3</v>
      </c>
      <c r="B151" s="2" t="s">
        <v>182</v>
      </c>
      <c r="C151" s="1" t="str">
        <f t="shared" si="0"/>
        <v xml:space="preserve">(A) I work in that department, too. 
</v>
      </c>
      <c r="D151" s="1" t="str">
        <f t="shared" si="1"/>
        <v xml:space="preserve">(B) The company's bank account. 
</v>
      </c>
      <c r="E151" s="1" t="str">
        <f t="shared" si="2"/>
        <v>(C) Right across the hall.</v>
      </c>
      <c r="F151" s="1" t="s">
        <v>11</v>
      </c>
    </row>
    <row r="152" spans="1:6" ht="105" x14ac:dyDescent="0.25">
      <c r="A152" s="1" t="str">
        <f t="shared" si="8"/>
        <v>Test7_Part2_Q10.mp3</v>
      </c>
      <c r="B152" s="2" t="s">
        <v>183</v>
      </c>
      <c r="C152" s="1" t="str">
        <f t="shared" si="0"/>
        <v xml:space="preserve">(A) They liked it. 
</v>
      </c>
      <c r="D152" s="1" t="str">
        <f t="shared" si="1"/>
        <v xml:space="preserve">(B) How can I focus this camera? 
</v>
      </c>
      <c r="E152" s="1" t="str">
        <f t="shared" si="2"/>
        <v>(C) It's about four thirty .</v>
      </c>
      <c r="F152" s="1" t="s">
        <v>15</v>
      </c>
    </row>
    <row r="153" spans="1:6" ht="90" x14ac:dyDescent="0.25">
      <c r="A153" s="1" t="str">
        <f t="shared" si="8"/>
        <v>Test7_Part2_Q11.mp3</v>
      </c>
      <c r="B153" s="2" t="s">
        <v>184</v>
      </c>
      <c r="C153" s="1" t="str">
        <f t="shared" si="0"/>
        <v xml:space="preserve">(A) On Barton Avenue. 
</v>
      </c>
      <c r="D153" s="1" t="str">
        <f t="shared" si="1"/>
        <v xml:space="preserve">(B) I didn't receive an invitation. 
</v>
      </c>
      <c r="E153" s="1" t="str">
        <f t="shared" si="2"/>
        <v>(C) Seventy guests.</v>
      </c>
      <c r="F153" s="1" t="s">
        <v>9</v>
      </c>
    </row>
    <row r="154" spans="1:6" ht="90" x14ac:dyDescent="0.25">
      <c r="A154" s="1" t="str">
        <f t="shared" si="8"/>
        <v>Test7_Part2_Q12.mp3</v>
      </c>
      <c r="B154" s="2" t="s">
        <v>185</v>
      </c>
      <c r="C154" s="1" t="str">
        <f t="shared" si="0"/>
        <v xml:space="preserve">(A) I bought a pair of scissors. 
</v>
      </c>
      <c r="D154" s="1" t="str">
        <f t="shared" si="1"/>
        <v xml:space="preserve">(B) A range of quarterly data. 
</v>
      </c>
      <c r="E154" s="1" t="str">
        <f t="shared" si="2"/>
        <v>(C) Yes, I put in a request yesterday.</v>
      </c>
      <c r="F154" s="1" t="s">
        <v>11</v>
      </c>
    </row>
    <row r="155" spans="1:6" ht="120" x14ac:dyDescent="0.25">
      <c r="A155" s="1" t="str">
        <f t="shared" si="8"/>
        <v>Test7_Part2_Q13.mp3</v>
      </c>
      <c r="B155" s="2" t="s">
        <v>186</v>
      </c>
      <c r="C155" s="1" t="str">
        <f t="shared" si="0"/>
        <v xml:space="preserve">(A) One meter high. 
</v>
      </c>
      <c r="D155" s="1" t="str">
        <f t="shared" si="1"/>
        <v xml:space="preserve">(B) Because some machines were down for 
repairs. 
</v>
      </c>
      <c r="E155" s="1" t="str">
        <f t="shared" si="2"/>
        <v>(C) A few hundred units.</v>
      </c>
      <c r="F155" s="1" t="s">
        <v>9</v>
      </c>
    </row>
    <row r="156" spans="1:6" ht="105" x14ac:dyDescent="0.25">
      <c r="A156" s="1" t="str">
        <f t="shared" si="8"/>
        <v>Test7_Part2_Q14.mp3</v>
      </c>
      <c r="B156" s="2" t="s">
        <v>187</v>
      </c>
      <c r="C156" s="1" t="str">
        <f t="shared" si="0"/>
        <v xml:space="preserve">(A) Has your report been submitted? 
</v>
      </c>
      <c r="D156" s="1" t="str">
        <f t="shared" si="1"/>
        <v xml:space="preserve">(B) Twelve staff members attended. 
</v>
      </c>
      <c r="E156" s="1" t="str">
        <f t="shared" si="2"/>
        <v>(C) A 50-dollar discount.</v>
      </c>
      <c r="F156" s="1" t="s">
        <v>15</v>
      </c>
    </row>
    <row r="157" spans="1:6" ht="120" x14ac:dyDescent="0.25">
      <c r="A157" s="1" t="str">
        <f t="shared" si="8"/>
        <v>Test7_Part2_Q15.mp3</v>
      </c>
      <c r="B157" s="2" t="s">
        <v>188</v>
      </c>
      <c r="C157" s="1" t="str">
        <f t="shared" si="0"/>
        <v xml:space="preserve">(A) Here's a copy of her resume. 
</v>
      </c>
      <c r="D157" s="1" t="str">
        <f t="shared" si="1"/>
        <v xml:space="preserve">(B) That's my computer. 
</v>
      </c>
      <c r="E157" s="1" t="str">
        <f t="shared" si="2"/>
        <v>(C) Some technical consultants.</v>
      </c>
      <c r="F157" s="1" t="s">
        <v>15</v>
      </c>
    </row>
    <row r="158" spans="1:6" ht="90" x14ac:dyDescent="0.25">
      <c r="A158" s="1" t="str">
        <f t="shared" si="8"/>
        <v>Test7_Part2_Q16.mp3</v>
      </c>
      <c r="B158" s="2" t="s">
        <v>189</v>
      </c>
      <c r="C158" s="1" t="str">
        <f t="shared" si="0"/>
        <v xml:space="preserve">(A) All sessions plus lunch. 
</v>
      </c>
      <c r="D158" s="1" t="str">
        <f t="shared" si="1"/>
        <v xml:space="preserve">(B) In Ballrooms 1 and 2. 
</v>
      </c>
      <c r="E158" s="1" t="str">
        <f t="shared" si="2"/>
        <v>(C) That's a reasonable rate.</v>
      </c>
      <c r="F158" s="1" t="s">
        <v>15</v>
      </c>
    </row>
    <row r="159" spans="1:6" ht="120" x14ac:dyDescent="0.25">
      <c r="A159" s="1" t="str">
        <f t="shared" si="8"/>
        <v>Test7_Part2_Q17.mp3</v>
      </c>
      <c r="B159" s="2" t="s">
        <v>190</v>
      </c>
      <c r="C159" s="1" t="str">
        <f t="shared" si="0"/>
        <v xml:space="preserve">(A) The building was renovated. 
</v>
      </c>
      <c r="D159" s="1" t="str">
        <f t="shared" si="1"/>
        <v xml:space="preserve">(B) My favorite sports team. 
</v>
      </c>
      <c r="E159" s="1" t="str">
        <f t="shared" si="2"/>
        <v>(C) Great, that's more than last year.</v>
      </c>
      <c r="F159" s="1" t="s">
        <v>11</v>
      </c>
    </row>
    <row r="160" spans="1:6" ht="135" x14ac:dyDescent="0.25">
      <c r="A160" s="1" t="str">
        <f t="shared" si="8"/>
        <v>Test7_Part2_Q18.mp3</v>
      </c>
      <c r="B160" s="2" t="s">
        <v>191</v>
      </c>
      <c r="C160" s="1" t="str">
        <f t="shared" si="0"/>
        <v xml:space="preserve">(A) Improving efficiency. 
</v>
      </c>
      <c r="D160" s="1" t="str">
        <f t="shared" si="1"/>
        <v xml:space="preserve">(B) I've seen that performance. 
</v>
      </c>
      <c r="E160" s="1" t="str">
        <f t="shared" si="2"/>
        <v>(C) You can start this Thursday.</v>
      </c>
      <c r="F160" s="1" t="s">
        <v>11</v>
      </c>
    </row>
    <row r="161" spans="1:6" ht="135" x14ac:dyDescent="0.25">
      <c r="A161" s="1" t="str">
        <f t="shared" si="8"/>
        <v>Test7_Part2_Q19.mp3</v>
      </c>
      <c r="B161" s="2" t="s">
        <v>192</v>
      </c>
      <c r="C161" s="1" t="str">
        <f t="shared" si="0"/>
        <v xml:space="preserve">(A) Some pencils and notebooks, please. 
</v>
      </c>
      <c r="D161" s="1" t="str">
        <f t="shared" si="1"/>
        <v xml:space="preserve">(B) Robert's in charge of that product. 
</v>
      </c>
      <c r="E161" s="1" t="str">
        <f t="shared" si="2"/>
        <v>(C) Thanks, I'll just have water.</v>
      </c>
      <c r="F161" s="1" t="s">
        <v>9</v>
      </c>
    </row>
    <row r="162" spans="1:6" ht="105" x14ac:dyDescent="0.25">
      <c r="A162" s="1" t="str">
        <f t="shared" si="8"/>
        <v>Test7_Part2_Q20.mp3</v>
      </c>
      <c r="B162" s="2" t="s">
        <v>193</v>
      </c>
      <c r="C162" s="1" t="str">
        <f t="shared" si="0"/>
        <v xml:space="preserve">(A) Basketball and tennis. 
</v>
      </c>
      <c r="D162" s="1" t="str">
        <f t="shared" si="1"/>
        <v xml:space="preserve">(B) Sorry I can't join you for dinner. 
</v>
      </c>
      <c r="E162" s="1" t="str">
        <f t="shared" si="2"/>
        <v>(C) Yes, I'd li ke to get more exercise.</v>
      </c>
      <c r="F162" s="1" t="s">
        <v>11</v>
      </c>
    </row>
    <row r="163" spans="1:6" ht="105" x14ac:dyDescent="0.25">
      <c r="A163" s="1" t="str">
        <f t="shared" si="8"/>
        <v>Test7_Part2_Q21.mp3</v>
      </c>
      <c r="B163" s="2" t="s">
        <v>194</v>
      </c>
      <c r="C163" s="1" t="str">
        <f t="shared" si="0"/>
        <v xml:space="preserve">(A) The conference room has computers. 
</v>
      </c>
      <c r="D163" s="1" t="str">
        <f t="shared" si="1"/>
        <v xml:space="preserve">(B) Yes, they're doing internships. 
</v>
      </c>
      <c r="E163" s="1" t="str">
        <f t="shared" si="2"/>
        <v>(C) We meet once a week.</v>
      </c>
      <c r="F163" s="1" t="s">
        <v>15</v>
      </c>
    </row>
    <row r="164" spans="1:6" ht="90" x14ac:dyDescent="0.25">
      <c r="A164" s="1" t="str">
        <f t="shared" si="8"/>
        <v>Test7_Part2_Q22.mp3</v>
      </c>
      <c r="B164" s="2" t="s">
        <v>195</v>
      </c>
      <c r="C164" s="1" t="str">
        <f t="shared" si="0"/>
        <v xml:space="preserve">(A) We provide home delivery. 
</v>
      </c>
      <c r="D164" s="1" t="str">
        <f t="shared" si="1"/>
        <v xml:space="preserve">(B) My new job's in London. 
</v>
      </c>
      <c r="E164" s="1" t="str">
        <f t="shared" si="2"/>
        <v>(C) A real estate agency.</v>
      </c>
      <c r="F164" s="1" t="s">
        <v>9</v>
      </c>
    </row>
    <row r="165" spans="1:6" ht="75" x14ac:dyDescent="0.25">
      <c r="A165" s="1" t="str">
        <f t="shared" si="8"/>
        <v>Test7_Part2_Q23.mp3</v>
      </c>
      <c r="B165" s="2" t="s">
        <v>196</v>
      </c>
      <c r="C165" s="1" t="str">
        <f t="shared" si="0"/>
        <v xml:space="preserve">(A) Yes, it was really fun. 
</v>
      </c>
      <c r="D165" s="1" t="str">
        <f t="shared" si="1"/>
        <v xml:space="preserve">(B) Don't forget the receipt. 
</v>
      </c>
      <c r="E165" s="1" t="str">
        <f t="shared" si="2"/>
        <v>(C) No, in alphabetical order.</v>
      </c>
      <c r="F165" s="1" t="s">
        <v>9</v>
      </c>
    </row>
    <row r="166" spans="1:6" ht="135" x14ac:dyDescent="0.25">
      <c r="A166" s="1" t="str">
        <f>"Test7_Part2_Q" &amp; ROW(A24) &amp; ".mp3"</f>
        <v>Test7_Part2_Q24.mp3</v>
      </c>
      <c r="B166" s="2" t="s">
        <v>197</v>
      </c>
      <c r="C166" s="1" t="str">
        <f t="shared" si="0"/>
        <v xml:space="preserve">(A) Probably in the city center. 
</v>
      </c>
      <c r="D166" s="1" t="str">
        <f t="shared" si="1"/>
        <v xml:space="preserve">(B) There's an announcement in the 
newspaper. 
</v>
      </c>
      <c r="E166" s="1" t="str">
        <f t="shared" si="2"/>
        <v>(C) Ten cents a copy.</v>
      </c>
      <c r="F166" s="1" t="s">
        <v>9</v>
      </c>
    </row>
    <row r="167" spans="1:6" ht="120" x14ac:dyDescent="0.25">
      <c r="A167" s="1" t="str">
        <f t="shared" si="8"/>
        <v>Test7_Part2_Q25.mp3</v>
      </c>
      <c r="B167" s="2" t="s">
        <v>198</v>
      </c>
      <c r="C167" s="1" t="str">
        <f t="shared" si="0"/>
        <v xml:space="preserve">(A) It was pretty expensive. 
</v>
      </c>
      <c r="D167" s="1" t="str">
        <f t="shared" si="1"/>
        <v xml:space="preserve">(B) He was here a few days ago. 
</v>
      </c>
      <c r="E167" s="1" t="str">
        <f t="shared" si="2"/>
        <v>(C) Maria was firm about the deadline.</v>
      </c>
      <c r="F167" s="1" t="s">
        <v>11</v>
      </c>
    </row>
    <row r="168" spans="1:6" ht="90" x14ac:dyDescent="0.25">
      <c r="A168" s="1" t="s">
        <v>199</v>
      </c>
      <c r="B168" s="2" t="s">
        <v>200</v>
      </c>
      <c r="C168" s="1" t="str">
        <f t="shared" si="0"/>
        <v xml:space="preserve">(A) I've prepared a new list. 
</v>
      </c>
      <c r="D168" s="1" t="str">
        <f t="shared" si="1"/>
        <v xml:space="preserve">(B) I'm not very hungry. 
</v>
      </c>
      <c r="E168" s="1" t="str">
        <f t="shared" si="2"/>
        <v>(C) Yes, at the beginning of January.</v>
      </c>
      <c r="F168" s="1" t="s">
        <v>11</v>
      </c>
    </row>
    <row r="169" spans="1:6" ht="75" x14ac:dyDescent="0.25">
      <c r="A169" s="1" t="str">
        <f>"Test8_Part2_Q" &amp; ROW(A2) &amp; ".mp3"</f>
        <v>Test8_Part2_Q2.mp3</v>
      </c>
      <c r="B169" s="2" t="s">
        <v>201</v>
      </c>
      <c r="C169" s="1" t="str">
        <f t="shared" si="0"/>
        <v xml:space="preserve">(A) The food is very spicy. 
</v>
      </c>
      <c r="D169" s="1" t="str">
        <f t="shared" si="1"/>
        <v xml:space="preserve">(B) On the back counter. 
</v>
      </c>
      <c r="E169" s="1" t="str">
        <f t="shared" si="2"/>
        <v>(C) Very recently.</v>
      </c>
      <c r="F169" s="1" t="s">
        <v>9</v>
      </c>
    </row>
    <row r="170" spans="1:6" ht="120" x14ac:dyDescent="0.25">
      <c r="A170" s="1" t="str">
        <f t="shared" ref="A170:A192" si="9">"Test8_Part2_Q" &amp; ROW(A3) &amp; ".mp3"</f>
        <v>Test8_Part2_Q3.mp3</v>
      </c>
      <c r="B170" s="2" t="s">
        <v>202</v>
      </c>
      <c r="C170" s="1" t="str">
        <f t="shared" si="0"/>
        <v xml:space="preserve">(A) Because he's on vacation this week. 
</v>
      </c>
      <c r="D170" s="1" t="str">
        <f t="shared" si="1"/>
        <v xml:space="preserve">(B) Conference room four. 
</v>
      </c>
      <c r="E170" s="1" t="str">
        <f t="shared" si="2"/>
        <v>(C) Thank you for the present.</v>
      </c>
      <c r="F170" s="1" t="s">
        <v>15</v>
      </c>
    </row>
    <row r="171" spans="1:6" ht="105" x14ac:dyDescent="0.25">
      <c r="A171" s="1" t="str">
        <f t="shared" si="9"/>
        <v>Test8_Part2_Q4.mp3</v>
      </c>
      <c r="B171" s="2" t="s">
        <v>203</v>
      </c>
      <c r="C171" s="1" t="str">
        <f t="shared" si="0"/>
        <v xml:space="preserve">(A) They're heavy, aren't they? 
</v>
      </c>
      <c r="D171" s="1" t="str">
        <f t="shared" si="1"/>
        <v xml:space="preserve">(B) Yes, you're in the right place. 
</v>
      </c>
      <c r="E171" s="1" t="str">
        <f t="shared" si="2"/>
        <v>(C) A seat near the stage.</v>
      </c>
      <c r="F171" s="1" t="s">
        <v>9</v>
      </c>
    </row>
    <row r="172" spans="1:6" ht="105" x14ac:dyDescent="0.25">
      <c r="A172" s="1" t="str">
        <f t="shared" si="9"/>
        <v>Test8_Part2_Q5.mp3</v>
      </c>
      <c r="B172" s="2" t="s">
        <v>204</v>
      </c>
      <c r="C172" s="1" t="str">
        <f t="shared" si="0"/>
        <v xml:space="preserve">(A) This afternoon would be best. 
</v>
      </c>
      <c r="D172" s="1" t="str">
        <f t="shared" si="1"/>
        <v xml:space="preserve">(B) Because the monitor broke. 
</v>
      </c>
      <c r="E172" s="1" t="str">
        <f t="shared" si="2"/>
        <v>(C) Just behind the printer.</v>
      </c>
      <c r="F172" s="1" t="s">
        <v>15</v>
      </c>
    </row>
    <row r="173" spans="1:6" ht="105" x14ac:dyDescent="0.25">
      <c r="A173" s="1" t="str">
        <f t="shared" si="9"/>
        <v>Test8_Part2_Q6.mp3</v>
      </c>
      <c r="B173" s="2" t="s">
        <v>205</v>
      </c>
      <c r="C173" s="1" t="str">
        <f t="shared" si="0"/>
        <v xml:space="preserve">(A) We're usually busy on Tuesdays. 
</v>
      </c>
      <c r="D173" s="1" t="str">
        <f t="shared" si="1"/>
        <v xml:space="preserve">(B) No, she leaves tomorrow. 
</v>
      </c>
      <c r="E173" s="1" t="str">
        <f t="shared" si="2"/>
        <v>(C) I took a guided tour.</v>
      </c>
      <c r="F173" s="1" t="s">
        <v>9</v>
      </c>
    </row>
    <row r="174" spans="1:6" ht="90" x14ac:dyDescent="0.25">
      <c r="A174" s="1" t="str">
        <f t="shared" si="9"/>
        <v>Test8_Part2_Q7.mp3</v>
      </c>
      <c r="B174" s="2" t="s">
        <v>206</v>
      </c>
      <c r="C174" s="1" t="str">
        <f t="shared" si="0"/>
        <v xml:space="preserve">(A) Yes, the view's beautiful. 
</v>
      </c>
      <c r="D174" s="1" t="str">
        <f t="shared" si="1"/>
        <v xml:space="preserve">(B) Five hundred dollars. 
</v>
      </c>
      <c r="E174" s="1" t="str">
        <f t="shared" si="2"/>
        <v>(C) A few more days.</v>
      </c>
      <c r="F174" s="1" t="s">
        <v>11</v>
      </c>
    </row>
    <row r="175" spans="1:6" ht="105" x14ac:dyDescent="0.25">
      <c r="A175" s="1" t="str">
        <f t="shared" si="9"/>
        <v>Test8_Part2_Q8.mp3</v>
      </c>
      <c r="B175" s="2" t="s">
        <v>207</v>
      </c>
      <c r="C175" s="1" t="str">
        <f t="shared" si="0"/>
        <v xml:space="preserve">(A) Try restarting it. 
</v>
      </c>
      <c r="D175" s="1" t="str">
        <f t="shared" si="1"/>
        <v xml:space="preserve">(B) Let's suggest it to our manager. 
</v>
      </c>
      <c r="E175" s="1" t="str">
        <f t="shared" si="2"/>
        <v>(C) There's a reception at the gallery.</v>
      </c>
      <c r="F175" s="1" t="s">
        <v>9</v>
      </c>
    </row>
    <row r="176" spans="1:6" ht="90" x14ac:dyDescent="0.25">
      <c r="A176" s="1" t="str">
        <f t="shared" si="9"/>
        <v>Test8_Part2_Q9.mp3</v>
      </c>
      <c r="B176" s="2" t="s">
        <v>208</v>
      </c>
      <c r="C176" s="1" t="str">
        <f t="shared" si="0"/>
        <v xml:space="preserve">(A) I'm almost done. 
</v>
      </c>
      <c r="D176" s="1" t="str">
        <f t="shared" si="1"/>
        <v xml:space="preserve">(B) No, it's plastic. 
</v>
      </c>
      <c r="E176" s="1" t="str">
        <f t="shared" si="2"/>
        <v>(C) Yes, I've eaten there.</v>
      </c>
      <c r="F176" s="1" t="s">
        <v>15</v>
      </c>
    </row>
    <row r="177" spans="1:6" ht="75" x14ac:dyDescent="0.25">
      <c r="A177" s="1" t="str">
        <f t="shared" si="9"/>
        <v>Test8_Part2_Q10.mp3</v>
      </c>
      <c r="B177" s="2" t="s">
        <v>209</v>
      </c>
      <c r="C177" s="1" t="str">
        <f t="shared" si="0"/>
        <v xml:space="preserve">(A) A one-way ticket . 
</v>
      </c>
      <c r="D177" s="1" t="str">
        <f t="shared" si="1"/>
        <v xml:space="preserve">(B) Not this time. 
</v>
      </c>
      <c r="E177" s="1" t="str">
        <f t="shared" si="2"/>
        <v>(C) All right, thanks.</v>
      </c>
      <c r="F177" s="1" t="s">
        <v>9</v>
      </c>
    </row>
    <row r="178" spans="1:6" ht="105" x14ac:dyDescent="0.25">
      <c r="A178" s="1" t="str">
        <f t="shared" si="9"/>
        <v>Test8_Part2_Q11.mp3</v>
      </c>
      <c r="B178" s="2" t="s">
        <v>210</v>
      </c>
      <c r="C178" s="1" t="str">
        <f t="shared" si="0"/>
        <v xml:space="preserve">(A) A short flight. 
</v>
      </c>
      <c r="D178" s="1" t="str">
        <f t="shared" si="1"/>
        <v xml:space="preserve">(B) I'm late for a meeting. 
</v>
      </c>
      <c r="E178" s="1" t="str">
        <f t="shared" si="2"/>
        <v>(C) Right, the cafeteria upstairs.</v>
      </c>
      <c r="F178" s="1" t="s">
        <v>9</v>
      </c>
    </row>
    <row r="179" spans="1:6" ht="105" x14ac:dyDescent="0.25">
      <c r="A179" s="1" t="str">
        <f t="shared" si="9"/>
        <v>Test8_Part2_Q12.mp3</v>
      </c>
      <c r="B179" s="2" t="s">
        <v>211</v>
      </c>
      <c r="C179" s="1" t="str">
        <f t="shared" si="0"/>
        <v xml:space="preserve">(A) I have to submit mine. 
</v>
      </c>
      <c r="D179" s="1" t="str">
        <f t="shared" si="1"/>
        <v xml:space="preserve">(B) A rental property. 
</v>
      </c>
      <c r="E179" s="1" t="str">
        <f t="shared" si="2"/>
        <v>(C) The trip went well, thanks.</v>
      </c>
      <c r="F179" s="1" t="s">
        <v>15</v>
      </c>
    </row>
    <row r="180" spans="1:6" ht="90" x14ac:dyDescent="0.25">
      <c r="A180" s="1" t="str">
        <f t="shared" si="9"/>
        <v>Test8_Part2_Q13.mp3</v>
      </c>
      <c r="B180" s="2" t="s">
        <v>212</v>
      </c>
      <c r="C180" s="1" t="str">
        <f t="shared" si="0"/>
        <v xml:space="preserve">(A) No, none are in stock. 
</v>
      </c>
      <c r="D180" s="1" t="str">
        <f t="shared" si="1"/>
        <v xml:space="preserve">(B) I like t hat one too. 
</v>
      </c>
      <c r="E180" s="1" t="str">
        <f t="shared" si="2"/>
        <v>(C) It's working for me.</v>
      </c>
      <c r="F180" s="1" t="s">
        <v>11</v>
      </c>
    </row>
    <row r="181" spans="1:6" ht="75" x14ac:dyDescent="0.25">
      <c r="A181" s="1" t="str">
        <f t="shared" si="9"/>
        <v>Test8_Part2_Q14.mp3</v>
      </c>
      <c r="B181" s="2" t="s">
        <v>213</v>
      </c>
      <c r="C181" s="1" t="str">
        <f t="shared" si="0"/>
        <v xml:space="preserve">(A) I'll ask Martha. 
</v>
      </c>
      <c r="D181" s="1" t="str">
        <f t="shared" si="1"/>
        <v xml:space="preserve">(B) A long internship. 
</v>
      </c>
      <c r="E181" s="1" t="str">
        <f t="shared" si="2"/>
        <v>(C) Maybe tomorrow.</v>
      </c>
      <c r="F181" s="1" t="s">
        <v>15</v>
      </c>
    </row>
    <row r="182" spans="1:6" ht="90" x14ac:dyDescent="0.25">
      <c r="A182" s="1" t="str">
        <f t="shared" si="9"/>
        <v>Test8_Part2_Q15.mp3</v>
      </c>
      <c r="B182" s="2" t="s">
        <v>214</v>
      </c>
      <c r="C182" s="1" t="str">
        <f t="shared" si="0"/>
        <v xml:space="preserve">(A) Yes, in the training manual. 
</v>
      </c>
      <c r="D182" s="1" t="str">
        <f t="shared" si="1"/>
        <v xml:space="preserve">(B) Two large suitcases. 
</v>
      </c>
      <c r="E182" s="1" t="str">
        <f t="shared" si="2"/>
        <v>(C) It should be here soon.</v>
      </c>
      <c r="F182" s="1" t="s">
        <v>11</v>
      </c>
    </row>
    <row r="183" spans="1:6" ht="105" x14ac:dyDescent="0.25">
      <c r="A183" s="1" t="str">
        <f t="shared" si="9"/>
        <v>Test8_Part2_Q16.mp3</v>
      </c>
      <c r="B183" s="2" t="s">
        <v>215</v>
      </c>
      <c r="C183" s="1" t="str">
        <f t="shared" si="0"/>
        <v xml:space="preserve">(A) From another vendor. 
</v>
      </c>
      <c r="D183" s="1" t="str">
        <f t="shared" si="1"/>
        <v xml:space="preserve">(B) I have a lot of projects this week. 
</v>
      </c>
      <c r="E183" s="1" t="str">
        <f t="shared" si="2"/>
        <v>(C) They're offering a discount.</v>
      </c>
      <c r="F183" s="1" t="s">
        <v>9</v>
      </c>
    </row>
    <row r="184" spans="1:6" ht="90" x14ac:dyDescent="0.25">
      <c r="A184" s="1" t="str">
        <f t="shared" si="9"/>
        <v>Test8_Part2_Q17.mp3</v>
      </c>
      <c r="B184" s="2" t="s">
        <v>216</v>
      </c>
      <c r="C184" s="1" t="str">
        <f t="shared" si="0"/>
        <v xml:space="preserve">(A) We passed the park. 
</v>
      </c>
      <c r="D184" s="1" t="str">
        <f t="shared" si="1"/>
        <v xml:space="preserve">(B) A twelve-story building. 
</v>
      </c>
      <c r="E184" s="1" t="str">
        <f t="shared" si="2"/>
        <v>(C) The maintenance crew is on their way.</v>
      </c>
      <c r="F184" s="1" t="s">
        <v>11</v>
      </c>
    </row>
    <row r="185" spans="1:6" ht="90" x14ac:dyDescent="0.25">
      <c r="A185" s="1" t="str">
        <f t="shared" si="9"/>
        <v>Test8_Part2_Q18.mp3</v>
      </c>
      <c r="B185" s="2" t="s">
        <v>217</v>
      </c>
      <c r="C185" s="1" t="str">
        <f t="shared" si="0"/>
        <v xml:space="preserve">(A) How about a restaurant instead? 
</v>
      </c>
      <c r="D185" s="1" t="str">
        <f t="shared" si="1"/>
        <v xml:space="preserve">(B) Downstairs on the left. 
</v>
      </c>
      <c r="E185" s="1" t="str">
        <f t="shared" si="2"/>
        <v>(C) I brought my own.</v>
      </c>
      <c r="F185" s="1" t="s">
        <v>15</v>
      </c>
    </row>
    <row r="186" spans="1:6" ht="105" x14ac:dyDescent="0.25">
      <c r="A186" s="1" t="str">
        <f t="shared" si="9"/>
        <v>Test8_Part2_Q19.mp3</v>
      </c>
      <c r="B186" s="2" t="s">
        <v>218</v>
      </c>
      <c r="C186" s="1" t="str">
        <f t="shared" si="0"/>
        <v xml:space="preserve">(A) Because I already tried to. 
</v>
      </c>
      <c r="D186" s="1" t="str">
        <f t="shared" si="1"/>
        <v xml:space="preserve">(B) She's at the supermarket. 
</v>
      </c>
      <c r="E186" s="1" t="str">
        <f t="shared" si="2"/>
        <v>(C) No, is that a new menu item?</v>
      </c>
      <c r="F186" s="1" t="s">
        <v>11</v>
      </c>
    </row>
    <row r="187" spans="1:6" ht="75" x14ac:dyDescent="0.25">
      <c r="A187" s="1" t="str">
        <f t="shared" si="9"/>
        <v>Test8_Part2_Q20.mp3</v>
      </c>
      <c r="B187" s="2" t="s">
        <v>219</v>
      </c>
      <c r="C187" s="1" t="str">
        <f t="shared" si="0"/>
        <v xml:space="preserve">(A) Three tickets, please. 
</v>
      </c>
      <c r="D187" s="1" t="str">
        <f t="shared" si="1"/>
        <v xml:space="preserve">(B) That was our goal. 
</v>
      </c>
      <c r="E187" s="1" t="str">
        <f t="shared" si="2"/>
        <v>(C) I had to work late.</v>
      </c>
      <c r="F187" s="1" t="s">
        <v>11</v>
      </c>
    </row>
    <row r="188" spans="1:6" ht="105" x14ac:dyDescent="0.25">
      <c r="A188" s="1" t="str">
        <f>"Test8_Part2_Q" &amp; ROW(A21) &amp; ".mp3"</f>
        <v>Test8_Part2_Q21.mp3</v>
      </c>
      <c r="B188" s="2" t="s">
        <v>220</v>
      </c>
      <c r="C188" s="1" t="str">
        <f t="shared" si="0"/>
        <v xml:space="preserve">(A) On the bottom shelf. 
</v>
      </c>
      <c r="D188" s="1" t="str">
        <f t="shared" si="1"/>
        <v xml:space="preserve">(B) That's what we were planning to do. 
</v>
      </c>
      <c r="E188" s="1" t="str">
        <f t="shared" si="2"/>
        <v>(C) The clothes are folded.</v>
      </c>
      <c r="F188" s="1" t="s">
        <v>9</v>
      </c>
    </row>
    <row r="189" spans="1:6" ht="60" x14ac:dyDescent="0.25">
      <c r="A189" s="1" t="str">
        <f t="shared" si="9"/>
        <v>Test8_Part2_Q22.mp3</v>
      </c>
      <c r="B189" s="2" t="s">
        <v>221</v>
      </c>
      <c r="C189" s="1" t="str">
        <f t="shared" si="0"/>
        <v xml:space="preserve">(A) A morning appointment. 
</v>
      </c>
      <c r="D189" s="1" t="str">
        <f t="shared" si="1"/>
        <v xml:space="preserve">(B) No, she's a technician. 
</v>
      </c>
      <c r="E189" s="1" t="str">
        <f t="shared" si="2"/>
        <v>(C) Mine is excellent.</v>
      </c>
      <c r="F189" s="1" t="s">
        <v>11</v>
      </c>
    </row>
    <row r="190" spans="1:6" ht="120" x14ac:dyDescent="0.25">
      <c r="A190" s="1" t="str">
        <f t="shared" si="9"/>
        <v>Test8_Part2_Q23.mp3</v>
      </c>
      <c r="B190" s="2" t="s">
        <v>222</v>
      </c>
      <c r="C190" s="1" t="str">
        <f t="shared" si="0"/>
        <v xml:space="preserve">(A) The lease agreement. 
</v>
      </c>
      <c r="D190" s="1" t="str">
        <f t="shared" si="1"/>
        <v xml:space="preserve">(B) I'm getting a new apartment. 
</v>
      </c>
      <c r="E190" s="1" t="str">
        <f t="shared" si="2"/>
        <v>(C) I lent it to him a while ago.</v>
      </c>
      <c r="F190" s="1" t="s">
        <v>9</v>
      </c>
    </row>
    <row r="191" spans="1:6" ht="105" x14ac:dyDescent="0.25">
      <c r="A191" s="1" t="str">
        <f t="shared" si="9"/>
        <v>Test8_Part2_Q24.mp3</v>
      </c>
      <c r="B191" s="2" t="s">
        <v>223</v>
      </c>
      <c r="C191" s="1" t="str">
        <f t="shared" si="0"/>
        <v xml:space="preserve">(A) The post office. 
</v>
      </c>
      <c r="D191" s="1" t="str">
        <f t="shared" si="1"/>
        <v xml:space="preserve">(B) Hang the painting on the north wall. 
</v>
      </c>
      <c r="E191" s="1" t="str">
        <f t="shared" si="2"/>
        <v>(C) We have enough applicants.</v>
      </c>
      <c r="F191" s="1" t="s">
        <v>11</v>
      </c>
    </row>
    <row r="192" spans="1:6" ht="105" x14ac:dyDescent="0.25">
      <c r="A192" s="1" t="str">
        <f t="shared" si="9"/>
        <v>Test8_Part2_Q25.mp3</v>
      </c>
      <c r="B192" s="2" t="s">
        <v>224</v>
      </c>
      <c r="C192" s="1" t="str">
        <f t="shared" si="0"/>
        <v xml:space="preserve">(A) The schedule was e-mailed yesterday. 
</v>
      </c>
      <c r="D192" s="1" t="str">
        <f t="shared" si="1"/>
        <v xml:space="preserve">(B) No, that's all right. 
</v>
      </c>
      <c r="E192" s="1" t="str">
        <f t="shared" si="2"/>
        <v>(C) The six-thirty train.</v>
      </c>
      <c r="F192" s="1" t="s">
        <v>15</v>
      </c>
    </row>
    <row r="193" spans="1:6" ht="105" x14ac:dyDescent="0.25">
      <c r="A193" s="1" t="s">
        <v>225</v>
      </c>
      <c r="B193" s="2" t="s">
        <v>226</v>
      </c>
      <c r="C193" s="1" t="str">
        <f t="shared" si="0"/>
        <v xml:space="preserve">(A) No, it's not. 
</v>
      </c>
      <c r="D193" s="1" t="str">
        <f t="shared" si="1"/>
        <v xml:space="preserve">(B) It includes your flight and hotel room. 
</v>
      </c>
      <c r="E193" s="1" t="str">
        <f t="shared" si="2"/>
        <v>(C) From the main post office.</v>
      </c>
      <c r="F193" s="1" t="s">
        <v>9</v>
      </c>
    </row>
    <row r="194" spans="1:6" ht="75" x14ac:dyDescent="0.25">
      <c r="A194" s="1" t="str">
        <f>"Test9_Part2_Q" &amp; ROW(A2) &amp; ".mp3"</f>
        <v>Test9_Part2_Q2.mp3</v>
      </c>
      <c r="B194" s="2" t="s">
        <v>227</v>
      </c>
      <c r="C194" s="1" t="str">
        <f t="shared" si="0"/>
        <v xml:space="preserve">(A) On March fifteenth. 
</v>
      </c>
      <c r="D194" s="1" t="str">
        <f t="shared" si="1"/>
        <v xml:space="preserve">(B) A safety checklist. 
</v>
      </c>
      <c r="E194" s="1" t="str">
        <f t="shared" si="2"/>
        <v>(C) We just ran out.</v>
      </c>
      <c r="F194" s="1" t="s">
        <v>15</v>
      </c>
    </row>
    <row r="195" spans="1:6" ht="90" x14ac:dyDescent="0.25">
      <c r="A195" s="1" t="str">
        <f t="shared" ref="A195:A217" si="10">"Test9_Part2_Q" &amp; ROW(A3) &amp; ".mp3"</f>
        <v>Test9_Part2_Q3.mp3</v>
      </c>
      <c r="B195" s="2" t="s">
        <v>228</v>
      </c>
      <c r="C195" s="1" t="str">
        <f t="shared" si="0"/>
        <v xml:space="preserve">(A) At the first window. 
</v>
      </c>
      <c r="D195" s="1" t="str">
        <f t="shared" si="1"/>
        <v xml:space="preserve">(B) Last Thursday. 
</v>
      </c>
      <c r="E195" s="1" t="str">
        <f t="shared" si="2"/>
        <v>(C) No, it's too much.</v>
      </c>
      <c r="F195" s="1" t="s">
        <v>15</v>
      </c>
    </row>
    <row r="196" spans="1:6" ht="75" x14ac:dyDescent="0.25">
      <c r="A196" s="1" t="str">
        <f t="shared" si="10"/>
        <v>Test9_Part2_Q4.mp3</v>
      </c>
      <c r="B196" s="2" t="s">
        <v>229</v>
      </c>
      <c r="C196" s="1" t="str">
        <f t="shared" si="0"/>
        <v xml:space="preserve">(A) Cream and sugar, please. 
</v>
      </c>
      <c r="D196" s="1" t="str">
        <f t="shared" si="1"/>
        <v xml:space="preserve">(B) Yeah- 1 like it a lot. 
</v>
      </c>
      <c r="E196" s="1" t="str">
        <f t="shared" si="2"/>
        <v>(C) We don't have to.</v>
      </c>
      <c r="F196" s="1" t="s">
        <v>9</v>
      </c>
    </row>
    <row r="197" spans="1:6" ht="75" x14ac:dyDescent="0.25">
      <c r="A197" s="1" t="str">
        <f t="shared" si="10"/>
        <v>Test9_Part2_Q5.mp3</v>
      </c>
      <c r="B197" s="2" t="s">
        <v>230</v>
      </c>
      <c r="C197" s="1" t="str">
        <f t="shared" si="0"/>
        <v xml:space="preserve">(A) Next Friday. 
</v>
      </c>
      <c r="D197" s="1" t="str">
        <f t="shared" si="1"/>
        <v xml:space="preserve">(B) Yes, I just came back. 
</v>
      </c>
      <c r="E197" s="1" t="str">
        <f t="shared" si="2"/>
        <v>(C) In the break room.</v>
      </c>
      <c r="F197" s="1" t="s">
        <v>15</v>
      </c>
    </row>
    <row r="198" spans="1:6" ht="90" x14ac:dyDescent="0.25">
      <c r="A198" s="1" t="str">
        <f t="shared" si="10"/>
        <v>Test9_Part2_Q6.mp3</v>
      </c>
      <c r="B198" s="2" t="s">
        <v>231</v>
      </c>
      <c r="C198" s="1" t="str">
        <f t="shared" si="0"/>
        <v xml:space="preserve">(A) The total is four dollars. 
</v>
      </c>
      <c r="D198" s="1" t="str">
        <f t="shared" si="1"/>
        <v xml:space="preserve">(B) Yes, he left for the day. 
</v>
      </c>
      <c r="E198" s="1" t="str">
        <f t="shared" si="2"/>
        <v>(C) No, I used the last one.</v>
      </c>
      <c r="F198" s="1" t="s">
        <v>11</v>
      </c>
    </row>
    <row r="199" spans="1:6" ht="135" x14ac:dyDescent="0.25">
      <c r="A199" s="1" t="str">
        <f t="shared" si="10"/>
        <v>Test9_Part2_Q7.mp3</v>
      </c>
      <c r="B199" s="2" t="s">
        <v>232</v>
      </c>
      <c r="C199" s="1" t="str">
        <f t="shared" si="0"/>
        <v xml:space="preserve">(A) Sure, w hen do you need them? 
</v>
      </c>
      <c r="D199" s="1" t="str">
        <f t="shared" si="1"/>
        <v xml:space="preserve">(B) Several members of the team. 
</v>
      </c>
      <c r="E199" s="1" t="str">
        <f t="shared" si="2"/>
        <v>(C) I already bought a present.</v>
      </c>
      <c r="F199" s="1" t="s">
        <v>15</v>
      </c>
    </row>
    <row r="200" spans="1:6" ht="90" x14ac:dyDescent="0.25">
      <c r="A200" s="1" t="str">
        <f t="shared" si="10"/>
        <v>Test9_Part2_Q8.mp3</v>
      </c>
      <c r="B200" s="2" t="s">
        <v>233</v>
      </c>
      <c r="C200" s="1" t="str">
        <f t="shared" si="0"/>
        <v xml:space="preserve">(A) I heard that's not true. 
</v>
      </c>
      <c r="D200" s="1" t="str">
        <f t="shared" si="1"/>
        <v xml:space="preserve">(B) She met him at lunch. 
</v>
      </c>
      <c r="E200" s="1" t="str">
        <f t="shared" si="2"/>
        <v>(C) We'd like to eat here.</v>
      </c>
      <c r="F200" s="1" t="s">
        <v>11</v>
      </c>
    </row>
    <row r="201" spans="1:6" ht="105" x14ac:dyDescent="0.25">
      <c r="A201" s="1" t="str">
        <f t="shared" si="10"/>
        <v>Test9_Part2_Q9.mp3</v>
      </c>
      <c r="B201" s="2" t="s">
        <v>234</v>
      </c>
      <c r="C201" s="1" t="str">
        <f t="shared" si="0"/>
        <v xml:space="preserve">(A) Because he's expecting a delivery. 
</v>
      </c>
      <c r="D201" s="1" t="str">
        <f t="shared" si="1"/>
        <v xml:space="preserve">(B) I live on Twentieth Street. 
</v>
      </c>
      <c r="E201" s="1" t="str">
        <f t="shared" si="2"/>
        <v>(C) A retail business.</v>
      </c>
      <c r="F201" s="1" t="s">
        <v>15</v>
      </c>
    </row>
    <row r="202" spans="1:6" ht="105" x14ac:dyDescent="0.25">
      <c r="A202" s="1" t="str">
        <f t="shared" si="10"/>
        <v>Test9_Part2_Q10.mp3</v>
      </c>
      <c r="B202" s="2" t="s">
        <v>235</v>
      </c>
      <c r="C202" s="1" t="str">
        <f t="shared" si="0"/>
        <v xml:space="preserve">(A) Just a few groceries. 
</v>
      </c>
      <c r="D202" s="1" t="str">
        <f t="shared" si="1"/>
        <v xml:space="preserve">(B) I have to w ork late tonight. 
</v>
      </c>
      <c r="E202" s="1" t="str">
        <f t="shared" si="2"/>
        <v>(C) Did you have a good time?</v>
      </c>
      <c r="F202" s="1" t="s">
        <v>9</v>
      </c>
    </row>
    <row r="203" spans="1:6" ht="105" x14ac:dyDescent="0.25">
      <c r="A203" s="1" t="str">
        <f t="shared" si="10"/>
        <v>Test9_Part2_Q11.mp3</v>
      </c>
      <c r="B203" s="2" t="s">
        <v>236</v>
      </c>
      <c r="C203" s="1" t="str">
        <f t="shared" si="0"/>
        <v xml:space="preserve">(A) By installing a software update. 
</v>
      </c>
      <c r="D203" s="1" t="str">
        <f t="shared" si="1"/>
        <v xml:space="preserve">(B) I think he's a good manager. 
</v>
      </c>
      <c r="E203" s="1" t="str">
        <f t="shared" si="2"/>
        <v>(C) They're very expensive.</v>
      </c>
      <c r="F203" s="1" t="s">
        <v>15</v>
      </c>
    </row>
    <row r="204" spans="1:6" ht="90" x14ac:dyDescent="0.25">
      <c r="A204" s="1" t="str">
        <f t="shared" si="10"/>
        <v>Test9_Part2_Q12.mp3</v>
      </c>
      <c r="B204" s="2" t="s">
        <v>237</v>
      </c>
      <c r="C204" s="1" t="str">
        <f t="shared" si="0"/>
        <v xml:space="preserve">(A) Thank you. 
</v>
      </c>
      <c r="D204" s="1" t="str">
        <f t="shared" si="1"/>
        <v xml:space="preserve">(B) I can carry that. 
</v>
      </c>
      <c r="E204" s="1" t="str">
        <f t="shared" si="2"/>
        <v>(C) Yes, it's very fast.</v>
      </c>
      <c r="F204" s="1" t="s">
        <v>11</v>
      </c>
    </row>
    <row r="205" spans="1:6" ht="120" x14ac:dyDescent="0.25">
      <c r="A205" s="1" t="str">
        <f t="shared" si="10"/>
        <v>Test9_Part2_Q13.mp3</v>
      </c>
      <c r="B205" s="2" t="s">
        <v>238</v>
      </c>
      <c r="C205" s="1" t="str">
        <f t="shared" si="0"/>
        <v xml:space="preserve">(A) The post office on the corner. 
</v>
      </c>
      <c r="D205" s="1" t="str">
        <f t="shared" si="1"/>
        <v xml:space="preserve">(B) Yes, but we already used them. 
</v>
      </c>
      <c r="E205" s="1" t="str">
        <f t="shared" si="2"/>
        <v>(C) A few years old.</v>
      </c>
      <c r="F205" s="1" t="s">
        <v>9</v>
      </c>
    </row>
    <row r="206" spans="1:6" ht="90" x14ac:dyDescent="0.25">
      <c r="A206" s="1" t="str">
        <f t="shared" si="10"/>
        <v>Test9_Part2_Q14.mp3</v>
      </c>
      <c r="B206" s="2" t="s">
        <v>239</v>
      </c>
      <c r="C206" s="1" t="str">
        <f t="shared" si="0"/>
        <v xml:space="preserve">(A) This is my first time here. 
</v>
      </c>
      <c r="D206" s="1" t="str">
        <f t="shared" si="1"/>
        <v xml:space="preserve">(B) Laptop computers. 
</v>
      </c>
      <c r="E206" s="1" t="str">
        <f t="shared" si="2"/>
        <v>(C) The Seattle office.</v>
      </c>
      <c r="F206" s="1" t="s">
        <v>15</v>
      </c>
    </row>
    <row r="207" spans="1:6" ht="75" x14ac:dyDescent="0.25">
      <c r="A207" s="1" t="str">
        <f t="shared" si="10"/>
        <v>Test9_Part2_Q15.mp3</v>
      </c>
      <c r="B207" s="2" t="s">
        <v>240</v>
      </c>
      <c r="C207" s="1" t="str">
        <f t="shared" si="0"/>
        <v xml:space="preserve">(A) A thirty-page contract. 
</v>
      </c>
      <c r="D207" s="1" t="str">
        <f t="shared" si="1"/>
        <v xml:space="preserve">(B) As soon as I'm finished with it. 
</v>
      </c>
      <c r="E207" s="1" t="str">
        <f t="shared" si="2"/>
        <v>(C) I always stay there .</v>
      </c>
      <c r="F207" s="1" t="s">
        <v>9</v>
      </c>
    </row>
    <row r="208" spans="1:6" ht="120" x14ac:dyDescent="0.25">
      <c r="A208" s="1" t="str">
        <f t="shared" si="10"/>
        <v>Test9_Part2_Q16.mp3</v>
      </c>
      <c r="B208" s="2" t="s">
        <v>241</v>
      </c>
      <c r="C208" s="1" t="str">
        <f t="shared" si="0"/>
        <v xml:space="preserve">(A) I think Lucy's data is impressive. 
</v>
      </c>
      <c r="D208" s="1" t="str">
        <f t="shared" si="1"/>
        <v xml:space="preserve">(B) In the conference room. 
</v>
      </c>
      <c r="E208" s="1" t="str">
        <f t="shared" si="2"/>
        <v>(C) Ten copies of this report, please .</v>
      </c>
      <c r="F208" s="1" t="s">
        <v>15</v>
      </c>
    </row>
    <row r="209" spans="1:6" ht="105" x14ac:dyDescent="0.25">
      <c r="A209" s="1" t="str">
        <f t="shared" si="10"/>
        <v>Test9_Part2_Q17.mp3</v>
      </c>
      <c r="B209" s="2" t="s">
        <v>242</v>
      </c>
      <c r="C209" s="1" t="str">
        <f t="shared" si="0"/>
        <v xml:space="preserve">(A) Sure, I can slow it down. 
</v>
      </c>
      <c r="D209" s="1" t="str">
        <f t="shared" si="1"/>
        <v xml:space="preserve">(B) Turn right at the next corner. 
</v>
      </c>
      <c r="E209" s="1" t="str">
        <f t="shared" si="2"/>
        <v>(C) The vice president is investigating it.</v>
      </c>
      <c r="F209" s="1" t="s">
        <v>11</v>
      </c>
    </row>
    <row r="210" spans="1:6" ht="120" x14ac:dyDescent="0.25">
      <c r="A210" s="1" t="str">
        <f t="shared" si="10"/>
        <v>Test9_Part2_Q18.mp3</v>
      </c>
      <c r="B210" s="2" t="s">
        <v>243</v>
      </c>
      <c r="C210" s="1" t="str">
        <f t="shared" si="0"/>
        <v xml:space="preserve">(A) He's only been here a week. 
</v>
      </c>
      <c r="D210" s="1" t="str">
        <f t="shared" si="1"/>
        <v xml:space="preserve">(B) Yeah, everyone in the company. 
</v>
      </c>
      <c r="E210" s="1" t="str">
        <f t="shared" si="2"/>
        <v>(C) I'd like to order that too.</v>
      </c>
      <c r="F210" s="1" t="s">
        <v>15</v>
      </c>
    </row>
    <row r="211" spans="1:6" ht="105" x14ac:dyDescent="0.25">
      <c r="A211" s="1" t="str">
        <f t="shared" si="10"/>
        <v>Test9_Part2_Q19.mp3</v>
      </c>
      <c r="B211" s="2" t="s">
        <v>244</v>
      </c>
      <c r="C211" s="1" t="str">
        <f t="shared" si="0"/>
        <v xml:space="preserve">(A) I spoke to him yesterday. 
</v>
      </c>
      <c r="D211" s="1" t="str">
        <f t="shared" si="1"/>
        <v xml:space="preserve">(B) I'll check the schedule. 
</v>
      </c>
      <c r="E211" s="1" t="str">
        <f t="shared" si="2"/>
        <v>(C) The administration building.</v>
      </c>
      <c r="F211" s="1" t="s">
        <v>9</v>
      </c>
    </row>
    <row r="212" spans="1:6" ht="90" x14ac:dyDescent="0.25">
      <c r="A212" s="1" t="str">
        <f t="shared" si="10"/>
        <v>Test9_Part2_Q20.mp3</v>
      </c>
      <c r="B212" s="2" t="s">
        <v>245</v>
      </c>
      <c r="C212" s="1" t="str">
        <f t="shared" si="0"/>
        <v xml:space="preserve">(A) A wireless device. 
</v>
      </c>
      <c r="D212" s="1" t="str">
        <f t="shared" si="1"/>
        <v xml:space="preserve">(B) Every day at three o'clock. 
</v>
      </c>
      <c r="E212" s="1" t="str">
        <f t="shared" si="2"/>
        <v>(C) Plug it in by the lamp.</v>
      </c>
      <c r="F212" s="1" t="s">
        <v>11</v>
      </c>
    </row>
    <row r="213" spans="1:6" ht="105" x14ac:dyDescent="0.25">
      <c r="A213" s="1" t="str">
        <f t="shared" si="10"/>
        <v>Test9_Part2_Q21.mp3</v>
      </c>
      <c r="B213" s="2" t="s">
        <v>246</v>
      </c>
      <c r="C213" s="1" t="str">
        <f t="shared" si="0"/>
        <v xml:space="preserve">(A) To get to Tokyo. 
</v>
      </c>
      <c r="D213" s="1" t="str">
        <f t="shared" si="1"/>
        <v xml:space="preserve">(B) About ten more workers. 
</v>
      </c>
      <c r="E213" s="1" t="str">
        <f t="shared" si="2"/>
        <v>(C) We'll need a large space for the food.</v>
      </c>
      <c r="F213" s="1" t="s">
        <v>11</v>
      </c>
    </row>
    <row r="214" spans="1:6" ht="120" x14ac:dyDescent="0.25">
      <c r="A214" s="1" t="str">
        <f>"Test9_Part2_Q" &amp; ROW(A22) &amp; ".mp3"</f>
        <v>Test9_Part2_Q22.mp3</v>
      </c>
      <c r="B214" s="2" t="s">
        <v>247</v>
      </c>
      <c r="C214" s="1" t="str">
        <f t="shared" si="0"/>
        <v xml:space="preserve">(A) That one over there. 
</v>
      </c>
      <c r="D214" s="1" t="str">
        <f t="shared" si="1"/>
        <v xml:space="preserve">(B) I'm waiting to hear about the salary. 
</v>
      </c>
      <c r="E214" s="1" t="str">
        <f t="shared" si="2"/>
        <v>(C) He's from London originally.</v>
      </c>
      <c r="F214" s="1" t="s">
        <v>9</v>
      </c>
    </row>
    <row r="215" spans="1:6" ht="120" x14ac:dyDescent="0.25">
      <c r="A215" s="1" t="str">
        <f t="shared" si="10"/>
        <v>Test9_Part2_Q23.mp3</v>
      </c>
      <c r="B215" s="2" t="s">
        <v>248</v>
      </c>
      <c r="C215" s="1" t="str">
        <f t="shared" si="0"/>
        <v xml:space="preserve">(A) How long do you think it'll take? 
</v>
      </c>
      <c r="D215" s="1" t="str">
        <f t="shared" si="1"/>
        <v xml:space="preserve">(B) A recently signed contract. 
</v>
      </c>
      <c r="E215" s="1" t="str">
        <f t="shared" si="2"/>
        <v>(C) I don't think he did.</v>
      </c>
      <c r="F215" s="1" t="s">
        <v>15</v>
      </c>
    </row>
    <row r="216" spans="1:6" ht="90" x14ac:dyDescent="0.25">
      <c r="A216" s="1" t="str">
        <f t="shared" si="10"/>
        <v>Test9_Part2_Q24.mp3</v>
      </c>
      <c r="B216" s="2" t="s">
        <v>249</v>
      </c>
      <c r="C216" s="1" t="str">
        <f t="shared" si="0"/>
        <v xml:space="preserve">(A) Takeshi can do it. 
</v>
      </c>
      <c r="D216" s="1" t="str">
        <f t="shared" si="1"/>
        <v xml:space="preserve">(B) The delivery should be on time. 
</v>
      </c>
      <c r="E216" s="1" t="str">
        <f t="shared" si="2"/>
        <v>(C) A refundable payment.</v>
      </c>
      <c r="F216" s="1" t="s">
        <v>15</v>
      </c>
    </row>
    <row r="217" spans="1:6" ht="105" x14ac:dyDescent="0.25">
      <c r="A217" s="1" t="str">
        <f t="shared" si="10"/>
        <v>Test9_Part2_Q25.mp3</v>
      </c>
      <c r="B217" s="2" t="s">
        <v>250</v>
      </c>
      <c r="C217" s="1" t="str">
        <f t="shared" si="0"/>
        <v xml:space="preserve">(A) The channel six forecast. 
</v>
      </c>
      <c r="D217" s="1" t="str">
        <f t="shared" si="1"/>
        <v xml:space="preserve">(B) The price was a little too high. 
</v>
      </c>
      <c r="E217" s="1" t="str">
        <f t="shared" si="2"/>
        <v>(C) You can borrow my umbrella.</v>
      </c>
      <c r="F217" s="1" t="s">
        <v>11</v>
      </c>
    </row>
    <row r="218" spans="1:6" ht="75" x14ac:dyDescent="0.25">
      <c r="A218" s="1" t="s">
        <v>251</v>
      </c>
      <c r="B218" s="2" t="s">
        <v>252</v>
      </c>
      <c r="C218" s="1" t="str">
        <f t="shared" si="0"/>
        <v xml:space="preserve">(A) I don't think so. 
</v>
      </c>
      <c r="D218" s="1" t="str">
        <f t="shared" si="1"/>
        <v xml:space="preserve">(B) Dinner at eight o'clock. 
</v>
      </c>
      <c r="E218" s="1" t="str">
        <f t="shared" si="2"/>
        <v>(C) The French one.</v>
      </c>
      <c r="F218" s="1" t="s">
        <v>11</v>
      </c>
    </row>
    <row r="219" spans="1:6" ht="90" x14ac:dyDescent="0.25">
      <c r="A219" s="1" t="str">
        <f>"Test10_Part2_Q" &amp; ROW(A2) &amp; ".mp3"</f>
        <v>Test10_Part2_Q2.mp3</v>
      </c>
      <c r="B219" s="2" t="s">
        <v>253</v>
      </c>
      <c r="C219" s="1" t="str">
        <f t="shared" si="0"/>
        <v xml:space="preserve">(A) Main Street. 
</v>
      </c>
      <c r="D219" s="1" t="str">
        <f t="shared" si="1"/>
        <v xml:space="preserve">(B) Sure, what size? 
</v>
      </c>
      <c r="E219" s="1" t="str">
        <f t="shared" si="2"/>
        <v>(C) A suit and a tie.</v>
      </c>
      <c r="F219" s="1" t="s">
        <v>9</v>
      </c>
    </row>
    <row r="220" spans="1:6" ht="105" x14ac:dyDescent="0.25">
      <c r="A220" s="1" t="str">
        <f t="shared" ref="A220:A242" si="11">"Test10_Part2_Q" &amp; ROW(A3) &amp; ".mp3"</f>
        <v>Test10_Part2_Q3.mp3</v>
      </c>
      <c r="B220" s="2" t="s">
        <v>254</v>
      </c>
      <c r="C220" s="1" t="str">
        <f t="shared" si="0"/>
        <v xml:space="preserve">(A) Because I've done a lot of work. 
</v>
      </c>
      <c r="D220" s="1" t="str">
        <f t="shared" si="1"/>
        <v xml:space="preserve">(B) Keith from the marketing department. 
</v>
      </c>
      <c r="E220" s="1" t="str">
        <f t="shared" si="2"/>
        <v>(C) Sometime last week.</v>
      </c>
      <c r="F220" s="1" t="s">
        <v>11</v>
      </c>
    </row>
    <row r="221" spans="1:6" ht="120" x14ac:dyDescent="0.25">
      <c r="A221" s="1" t="str">
        <f t="shared" si="11"/>
        <v>Test10_Part2_Q4.mp3</v>
      </c>
      <c r="B221" s="2" t="s">
        <v>255</v>
      </c>
      <c r="C221" s="1" t="str">
        <f t="shared" si="0"/>
        <v xml:space="preserve">(A) Jim had it this morning. 
</v>
      </c>
      <c r="D221" s="1" t="str">
        <f t="shared" si="1"/>
        <v xml:space="preserve">(B) A fifteen percent discount applies. 
</v>
      </c>
      <c r="E221" s="1" t="str">
        <f t="shared" si="2"/>
        <v>(C) The printing company called.</v>
      </c>
      <c r="F221" s="1" t="s">
        <v>15</v>
      </c>
    </row>
    <row r="222" spans="1:6" ht="90" x14ac:dyDescent="0.25">
      <c r="A222" s="1" t="str">
        <f t="shared" si="11"/>
        <v>Test10_Part2_Q5.mp3</v>
      </c>
      <c r="B222" s="2" t="s">
        <v>256</v>
      </c>
      <c r="C222" s="1" t="str">
        <f t="shared" si="0"/>
        <v xml:space="preserve">(A) Let's close the account. 
</v>
      </c>
      <c r="D222" s="1" t="str">
        <f t="shared" si="1"/>
        <v xml:space="preserve">(B) The electric bill was paid. 
</v>
      </c>
      <c r="E222" s="1" t="str">
        <f t="shared" si="2"/>
        <v>(C) No, I think it's Ms. Garcia.</v>
      </c>
      <c r="F222" s="1" t="s">
        <v>11</v>
      </c>
    </row>
    <row r="223" spans="1:6" ht="75" x14ac:dyDescent="0.25">
      <c r="A223" s="1" t="str">
        <f t="shared" si="11"/>
        <v>Test10_Part2_Q6.mp3</v>
      </c>
      <c r="B223" s="2" t="s">
        <v>257</v>
      </c>
      <c r="C223" s="1" t="str">
        <f t="shared" si="0"/>
        <v xml:space="preserve">(A) Just a rental car. 
</v>
      </c>
      <c r="D223" s="1" t="str">
        <f t="shared" si="1"/>
        <v xml:space="preserve">(B) Because of road construction. 
</v>
      </c>
      <c r="E223" s="1" t="str">
        <f t="shared" si="2"/>
        <v>(C) No, I worked yesterday.</v>
      </c>
      <c r="F223" s="1" t="s">
        <v>9</v>
      </c>
    </row>
    <row r="224" spans="1:6" ht="105" x14ac:dyDescent="0.25">
      <c r="A224" s="1" t="str">
        <f t="shared" si="11"/>
        <v>Test10_Part2_Q7.mp3</v>
      </c>
      <c r="B224" s="2" t="s">
        <v>258</v>
      </c>
      <c r="C224" s="1" t="str">
        <f t="shared" si="0"/>
        <v xml:space="preserve">(A) Thanks, but I'm almost finished. 
</v>
      </c>
      <c r="D224" s="1" t="str">
        <f t="shared" si="1"/>
        <v xml:space="preserve">(B) He's a new hire. 
</v>
      </c>
      <c r="E224" s="1" t="str">
        <f t="shared" si="2"/>
        <v>(C) About twenty documents.</v>
      </c>
      <c r="F224" s="1" t="s">
        <v>15</v>
      </c>
    </row>
    <row r="225" spans="1:6" ht="90" x14ac:dyDescent="0.25">
      <c r="A225" s="1" t="str">
        <f t="shared" si="11"/>
        <v>Test10_Part2_Q8.mp3</v>
      </c>
      <c r="B225" s="2" t="s">
        <v>259</v>
      </c>
      <c r="C225" s="1" t="str">
        <f t="shared" si="0"/>
        <v xml:space="preserve">(A) It should be open. 
</v>
      </c>
      <c r="D225" s="1" t="str">
        <f t="shared" si="1"/>
        <v xml:space="preserve">(B) There's a clock in here. 
</v>
      </c>
      <c r="E225" s="1" t="str">
        <f t="shared" si="2"/>
        <v>(C) Just around the corner.</v>
      </c>
      <c r="F225" s="1" t="s">
        <v>15</v>
      </c>
    </row>
    <row r="226" spans="1:6" ht="105" x14ac:dyDescent="0.25">
      <c r="A226" s="1" t="str">
        <f t="shared" si="11"/>
        <v>Test10_Part2_Q9.mp3</v>
      </c>
      <c r="B226" s="2" t="s">
        <v>260</v>
      </c>
      <c r="C226" s="1" t="str">
        <f t="shared" si="0"/>
        <v xml:space="preserve">(A) I'd prefer the blue ones. 
</v>
      </c>
      <c r="D226" s="1" t="str">
        <f t="shared" si="1"/>
        <v xml:space="preserve">(B) Yes, please hold this for me. 
</v>
      </c>
      <c r="E226" s="1" t="str">
        <f t="shared" si="2"/>
        <v>(C) At the stationery store .</v>
      </c>
      <c r="F226" s="1" t="s">
        <v>15</v>
      </c>
    </row>
    <row r="227" spans="1:6" ht="90" x14ac:dyDescent="0.25">
      <c r="A227" s="1" t="str">
        <f t="shared" si="11"/>
        <v>Test10_Part2_Q10.mp3</v>
      </c>
      <c r="B227" s="2" t="s">
        <v>261</v>
      </c>
      <c r="C227" s="1" t="str">
        <f t="shared" si="0"/>
        <v xml:space="preserve">(A) The last shipment. 
</v>
      </c>
      <c r="D227" s="1" t="str">
        <f t="shared" si="1"/>
        <v xml:space="preserve">(B) Complete an order form online. 
</v>
      </c>
      <c r="E227" s="1" t="str">
        <f t="shared" si="2"/>
        <v>(C) Overnight to Singapore.</v>
      </c>
      <c r="F227" s="1" t="s">
        <v>9</v>
      </c>
    </row>
    <row r="228" spans="1:6" ht="90" x14ac:dyDescent="0.25">
      <c r="A228" s="1" t="str">
        <f t="shared" si="11"/>
        <v>Test10_Part2_Q11.mp3</v>
      </c>
      <c r="B228" s="2" t="s">
        <v>262</v>
      </c>
      <c r="C228" s="1" t="str">
        <f t="shared" si="0"/>
        <v xml:space="preserve">(A) Yes, I'll do that now. 
</v>
      </c>
      <c r="D228" s="1" t="str">
        <f t="shared" si="1"/>
        <v xml:space="preserve">(B) Downstairs on the left. 
</v>
      </c>
      <c r="E228" s="1" t="str">
        <f t="shared" si="2"/>
        <v>(C) I've already read it.</v>
      </c>
      <c r="F228" s="1" t="s">
        <v>15</v>
      </c>
    </row>
    <row r="229" spans="1:6" ht="135" x14ac:dyDescent="0.25">
      <c r="A229" s="1" t="str">
        <f t="shared" si="11"/>
        <v>Test10_Part2_Q12.mp3</v>
      </c>
      <c r="B229" s="2" t="s">
        <v>263</v>
      </c>
      <c r="C229" s="1" t="str">
        <f t="shared" si="0"/>
        <v xml:space="preserve">(A) Upstairs, to the right of the elevator. 
</v>
      </c>
      <c r="D229" s="1" t="str">
        <f t="shared" si="1"/>
        <v xml:space="preserve">(B) All new employees have to watch it. 
</v>
      </c>
      <c r="E229" s="1" t="str">
        <f t="shared" si="2"/>
        <v>(C) She's been working here for ten years.</v>
      </c>
      <c r="F229" s="1" t="s">
        <v>15</v>
      </c>
    </row>
    <row r="230" spans="1:6" ht="120" x14ac:dyDescent="0.25">
      <c r="A230" s="1" t="str">
        <f t="shared" si="11"/>
        <v>Test10_Part2_Q13.mp3</v>
      </c>
      <c r="B230" s="2" t="s">
        <v>264</v>
      </c>
      <c r="C230" s="1" t="str">
        <f t="shared" si="0"/>
        <v xml:space="preserve">(A) I think it was the property manager. 
</v>
      </c>
      <c r="D230" s="1" t="str">
        <f t="shared" si="1"/>
        <v xml:space="preserve">(B) On the first of every month. 
</v>
      </c>
      <c r="E230" s="1" t="str">
        <f t="shared" si="2"/>
        <v>(C) There's a part missing.</v>
      </c>
      <c r="F230" s="1" t="s">
        <v>15</v>
      </c>
    </row>
    <row r="231" spans="1:6" ht="105" x14ac:dyDescent="0.25">
      <c r="A231" s="1" t="str">
        <f t="shared" si="11"/>
        <v>Test10_Part2_Q14.mp3</v>
      </c>
      <c r="B231" s="2" t="s">
        <v>265</v>
      </c>
      <c r="C231" s="1" t="str">
        <f t="shared" si="0"/>
        <v xml:space="preserve">(A) About thirty euros. 
</v>
      </c>
      <c r="D231" s="1" t="str">
        <f t="shared" si="1"/>
        <v xml:space="preserve">(B) I don't like sports. 
</v>
      </c>
      <c r="E231" s="1" t="str">
        <f t="shared" si="2"/>
        <v>(C) Put your name here, please.</v>
      </c>
      <c r="F231" s="1" t="s">
        <v>9</v>
      </c>
    </row>
    <row r="232" spans="1:6" ht="90" x14ac:dyDescent="0.25">
      <c r="A232" s="1" t="str">
        <f t="shared" si="11"/>
        <v>Test10_Part2_Q15.mp3</v>
      </c>
      <c r="B232" s="2" t="s">
        <v>266</v>
      </c>
      <c r="C232" s="1" t="str">
        <f t="shared" si="0"/>
        <v xml:space="preserve">(A) No, I don't know him. 
</v>
      </c>
      <c r="D232" s="1" t="str">
        <f t="shared" si="1"/>
        <v xml:space="preserve">(B) Yes, that'd be helpful. 
</v>
      </c>
      <c r="E232" s="1" t="str">
        <f t="shared" si="2"/>
        <v>(C) At least 500 dollars.</v>
      </c>
      <c r="F232" s="1" t="s">
        <v>9</v>
      </c>
    </row>
    <row r="233" spans="1:6" ht="90" x14ac:dyDescent="0.25">
      <c r="A233" s="1" t="str">
        <f t="shared" si="11"/>
        <v>Test10_Part2_Q16.mp3</v>
      </c>
      <c r="B233" s="2" t="s">
        <v>267</v>
      </c>
      <c r="C233" s="1" t="str">
        <f t="shared" si="0"/>
        <v xml:space="preserve">(A) At the job fair. 
</v>
      </c>
      <c r="D233" s="1" t="str">
        <f t="shared" si="1"/>
        <v xml:space="preserve">(B) It was built last year. 
</v>
      </c>
      <c r="E233" s="1" t="str">
        <f t="shared" si="2"/>
        <v>(C) Pablo has a car.</v>
      </c>
      <c r="F233" s="1" t="s">
        <v>11</v>
      </c>
    </row>
    <row r="234" spans="1:6" ht="105" x14ac:dyDescent="0.25">
      <c r="A234" s="1" t="str">
        <f t="shared" si="11"/>
        <v>Test10_Part2_Q17.mp3</v>
      </c>
      <c r="B234" s="2" t="s">
        <v>268</v>
      </c>
      <c r="C234" s="1" t="str">
        <f t="shared" si="0"/>
        <v xml:space="preserve">(A) A newspaper article. 
</v>
      </c>
      <c r="D234" s="1" t="str">
        <f t="shared" si="1"/>
        <v xml:space="preserve">(B) Is her flight on time? 
</v>
      </c>
      <c r="E234" s="1" t="str">
        <f t="shared" si="2"/>
        <v>(C) There's a printer in my office.</v>
      </c>
      <c r="F234" s="1" t="s">
        <v>11</v>
      </c>
    </row>
    <row r="235" spans="1:6" ht="90" x14ac:dyDescent="0.25">
      <c r="A235" s="1" t="str">
        <f t="shared" si="11"/>
        <v>Test10_Part2_Q18.mp3</v>
      </c>
      <c r="B235" s="2" t="s">
        <v>269</v>
      </c>
      <c r="C235" s="1" t="str">
        <f t="shared" si="0"/>
        <v xml:space="preserve">(A) The tickets are sold out. 
</v>
      </c>
      <c r="D235" s="1" t="str">
        <f t="shared" si="1"/>
        <v xml:space="preserve">(B) I'll finish it right now. 
</v>
      </c>
      <c r="E235" s="1" t="str">
        <f t="shared" si="2"/>
        <v>(C) A very famous painter.</v>
      </c>
      <c r="F235" s="1" t="s">
        <v>15</v>
      </c>
    </row>
    <row r="236" spans="1:6" ht="105" x14ac:dyDescent="0.25">
      <c r="A236" s="1" t="str">
        <f t="shared" si="11"/>
        <v>Test10_Part2_Q19.mp3</v>
      </c>
      <c r="B236" s="2" t="s">
        <v>270</v>
      </c>
      <c r="C236" s="1" t="str">
        <f t="shared" si="0"/>
        <v xml:space="preserve">(A) New company policies. 
</v>
      </c>
      <c r="D236" s="1" t="str">
        <f t="shared" si="1"/>
        <v xml:space="preserve">(B) I have two slides left to make. 
</v>
      </c>
      <c r="E236" s="1" t="str">
        <f t="shared" si="2"/>
        <v>(C) A seat by the window.</v>
      </c>
      <c r="F236" s="1" t="s">
        <v>9</v>
      </c>
    </row>
    <row r="237" spans="1:6" ht="135" x14ac:dyDescent="0.25">
      <c r="A237" s="1" t="str">
        <f t="shared" si="11"/>
        <v>Test10_Part2_Q20.mp3</v>
      </c>
      <c r="B237" s="2" t="s">
        <v>271</v>
      </c>
      <c r="C237" s="1" t="str">
        <f t="shared" si="0"/>
        <v xml:space="preserve">(A) On the corner of Maple Street. 
</v>
      </c>
      <c r="D237" s="1" t="str">
        <f t="shared" si="1"/>
        <v xml:space="preserve">(B) I'll take a look at the calendar. 
</v>
      </c>
      <c r="E237" s="1" t="str">
        <f t="shared" si="2"/>
        <v>(C) Maybe the computer's not working.</v>
      </c>
      <c r="F237" s="1" t="s">
        <v>9</v>
      </c>
    </row>
    <row r="238" spans="1:6" ht="105" x14ac:dyDescent="0.25">
      <c r="A238" s="1" t="str">
        <f t="shared" si="11"/>
        <v>Test10_Part2_Q21.mp3</v>
      </c>
      <c r="B238" s="2" t="s">
        <v>272</v>
      </c>
      <c r="C238" s="1" t="str">
        <f t="shared" si="0"/>
        <v xml:space="preserve">(A) I'm meeting with them at two. 
</v>
      </c>
      <c r="D238" s="1" t="str">
        <f t="shared" si="1"/>
        <v xml:space="preserve">(B) It's an old model. 
</v>
      </c>
      <c r="E238" s="1" t="str">
        <f t="shared" si="2"/>
        <v>(C) Three months ago.</v>
      </c>
      <c r="F238" s="1" t="s">
        <v>15</v>
      </c>
    </row>
    <row r="239" spans="1:6" ht="120" x14ac:dyDescent="0.25">
      <c r="A239" s="1" t="str">
        <f t="shared" si="11"/>
        <v>Test10_Part2_Q22.mp3</v>
      </c>
      <c r="B239" s="2" t="s">
        <v>273</v>
      </c>
      <c r="C239" s="1" t="str">
        <f t="shared" si="0"/>
        <v xml:space="preserve">(A) I think it opened last year. 
</v>
      </c>
      <c r="D239" s="1" t="str">
        <f t="shared" si="1"/>
        <v xml:space="preserve">(B) Not on weekends. 
</v>
      </c>
      <c r="E239" s="1" t="str">
        <f t="shared" si="2"/>
        <v>(C) What a great offer!</v>
      </c>
      <c r="F239" s="1" t="s">
        <v>11</v>
      </c>
    </row>
    <row r="240" spans="1:6" ht="135" x14ac:dyDescent="0.25">
      <c r="A240" s="1" t="str">
        <f t="shared" si="11"/>
        <v>Test10_Part2_Q23.mp3</v>
      </c>
      <c r="B240" s="2" t="s">
        <v>274</v>
      </c>
      <c r="C240" s="1" t="str">
        <f t="shared" si="0"/>
        <v xml:space="preserve">(A) The storage room is that way. 
</v>
      </c>
      <c r="D240" s="1" t="str">
        <f t="shared" si="1"/>
        <v xml:space="preserve">(B) That's going to put us behind schedule. 
</v>
      </c>
      <c r="E240" s="1" t="str">
        <f t="shared" si="2"/>
        <v>(C) Some new kitchen appliances.</v>
      </c>
      <c r="F240" s="1" t="s">
        <v>9</v>
      </c>
    </row>
    <row r="241" spans="1:6" ht="105" x14ac:dyDescent="0.25">
      <c r="A241" s="1" t="str">
        <f>"Test10_Part2_Q" &amp; ROW(A24) &amp; ".mp3"</f>
        <v>Test10_Part2_Q24.mp3</v>
      </c>
      <c r="B241" s="2" t="s">
        <v>275</v>
      </c>
      <c r="C241" s="1" t="str">
        <f t="shared" si="0"/>
        <v xml:space="preserve">(A) All flights were delayed. 
</v>
      </c>
      <c r="D241" s="1" t="str">
        <f t="shared" si="1"/>
        <v xml:space="preserve">(B) No, departures are on the first floor. 
</v>
      </c>
      <c r="E241" s="1" t="str">
        <f t="shared" si="2"/>
        <v>(C) Actually, a twenty percent bonus!</v>
      </c>
      <c r="F241" s="1" t="s">
        <v>15</v>
      </c>
    </row>
    <row r="242" spans="1:6" ht="120" x14ac:dyDescent="0.25">
      <c r="A242" s="1" t="str">
        <f t="shared" si="11"/>
        <v>Test10_Part2_Q25.mp3</v>
      </c>
      <c r="B242" s="2" t="s">
        <v>276</v>
      </c>
      <c r="C242" s="1" t="str">
        <f t="shared" si="0"/>
        <v xml:space="preserve">(A) Production costs are high. 
</v>
      </c>
      <c r="D242" s="1" t="str">
        <f t="shared" si="1"/>
        <v xml:space="preserve">(B) There was only one item on the agenda. 
</v>
      </c>
      <c r="E242" s="1" t="str">
        <f t="shared" si="2"/>
        <v>(C) No, we were the first to arrive.</v>
      </c>
      <c r="F242" s="1" t="s">
        <v>9</v>
      </c>
    </row>
    <row r="243" spans="1:6" x14ac:dyDescent="0.25">
      <c r="F243" s="1" t="s">
        <v>9</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This PC</dc:creator>
  <cp:lastModifiedBy>This PC</cp:lastModifiedBy>
  <dcterms:created xsi:type="dcterms:W3CDTF">2026-04-17T03:42:40Z</dcterms:created>
  <dcterms:modified xsi:type="dcterms:W3CDTF">2026-04-20T04:07:38Z</dcterms:modified>
</cp:coreProperties>
</file>